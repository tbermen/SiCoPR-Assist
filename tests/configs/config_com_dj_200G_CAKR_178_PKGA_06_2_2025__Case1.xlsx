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cense Notice" sheetId="1" r:id="rId4"/>
    <sheet state="visible" name="COM_Settings" sheetId="2" r:id="rId5"/>
    <sheet state="visible" name="selections_and_tables" sheetId="3" r:id="rId6"/>
    <sheet state="visible" name="keywords_20-Feb-2024" sheetId="4" r:id="rId7"/>
  </sheets>
  <definedNames>
    <definedName name="scale">#REF!</definedName>
    <definedName localSheetId="1" name="scale">COM_Settings!$M$16</definedName>
  </definedNames>
  <calcPr/>
  <extLst>
    <ext uri="GoogleSheetsCustomDataVersion2">
      <go:sheetsCustomData xmlns:go="http://customooxmlschemas.google.com/" r:id="rId8" roundtripDataChecksum="vi6QL8Cp4eX5RSQxWOm3Qs8ZaijmwO/E8SssTJK9+c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
      <text>
        <t xml:space="preserve">======
ID#AAACHaHOxJs
Mellitz, Richard    (2026-09-21 19:51:46)
Directory where results are written</t>
      </text>
    </comment>
    <comment authorId="0" ref="A30">
      <text>
        <t xml:space="preserve">======
ID#AAACHaHOxH4
Adee Ran    (2026-09-21 19:51:46)
Continuous time filter, second pole frequency - values matching g_DC values or a single value</t>
      </text>
    </comment>
    <comment authorId="0" ref="A28">
      <text>
        <t xml:space="preserve">======
ID#AAACHaHOxJk
Adee Ran    (2026-09-21 19:51:46)
Continuous time filter, zero frequency - values matching g_DC values or a single value</t>
      </text>
    </comment>
    <comment authorId="0" ref="A26">
      <text>
        <t xml:space="preserve">======
ID#AAACHaHOxIw
Richard Mellitz    (2026-09-21 19:51:46)
DFE magnitude limit, second coefficient and on (ignored if Nb&lt;2)</t>
      </text>
    </comment>
    <comment authorId="0" ref="F30">
      <text>
        <t xml:space="preserve">======
ID#AAACHaHOxJE
Adee Ran    (2026-09-21 19:51:46)
Level separation mismatch ratio</t>
      </text>
    </comment>
    <comment authorId="0" ref="A24">
      <text>
        <t xml:space="preserve">======
ID#AAACHaHOxIc
Richard Mellitz    (2026-09-21 19:51:46)
DFE magnitude limit, second coefficient and on (ignored if Nb&lt;2)</t>
      </text>
    </comment>
    <comment authorId="0" ref="D26">
      <text>
        <t xml:space="preserve">======
ID#AAACHaHOxIk
Richard Mellitz    (2026-09-21 19:51:46)
DFE magnitude limit, second coefficient and on (ignored if Nb&lt;2)</t>
      </text>
    </comment>
    <comment authorId="0" ref="F28">
      <text>
        <t xml:space="preserve">======
ID#AAACHaHOxIU
Adee Ran    (2026-09-21 19:51:46)
One-sided noise spectral density</t>
      </text>
    </comment>
    <comment authorId="0" ref="A22">
      <text>
        <t xml:space="preserve">======
ID#AAACHaHOxIQ
Richard Mellitz    (2026-09-21 19:51:46)
Decision feedback equalizer (DFE) length</t>
      </text>
    </comment>
    <comment authorId="0" ref="D24">
      <text>
        <t xml:space="preserve">======
ID#AAACHaHOxJA
Richard Mellitz    (2026-09-21 19:51:46)
DFE magnitude limit, second coefficient and on (ignored if Nb&lt;2)</t>
      </text>
    </comment>
    <comment authorId="0" ref="F26">
      <text>
        <t xml:space="preserve">======
ID#AAACHaHOxI4
Adee Ran    (2026-09-21 19:51:46)
Random jitter RMS ((modeled as ERJ  in subclause 92.8.3.8.2)</t>
      </text>
    </comment>
    <comment authorId="0" ref="F22">
      <text>
        <t xml:space="preserve">======
ID#AAACHaHOxJc
Richard Mellitz    (2026-09-21 19:51:46)
twice fixture delay can be determine with TDR</t>
      </text>
    </comment>
    <comment authorId="0" ref="A16">
      <text>
        <t xml:space="preserve">======
ID#AAACHaHOxJw
Adee Ran    (2026-09-21 19:51:46)
Transmitter equalizer, minimum cursor coefficient</t>
      </text>
    </comment>
    <comment authorId="0" ref="A12">
      <text>
        <t xml:space="preserve">======
ID#AAACHaHOxIs
Richard Mellitz    (2026-09-21 19:51:46)
Number of signal levels</t>
      </text>
    </comment>
    <comment authorId="0" ref="F4">
      <text>
        <t xml:space="preserve">======
ID#AAACHaHOxJ8
Mellitz, Richard    (2026-09-21 19:51:46)
Enables the writing of the output parameters in a CSV file n the report directory</t>
      </text>
    </comment>
    <comment authorId="0" ref="J6">
      <text>
        <t xml:space="preserve">======
ID#AAACHaHOxJg
Richard Mellitz    (2026-09-21 19:51:46)
forces gaussian tx risetime</t>
      </text>
    </comment>
    <comment authorId="0" ref="F2">
      <text>
        <t xml:space="preserve">======
ID#AAACHaHOxJI
    (2026-09-21 19:51:46)
Mellitz, Richard:</t>
      </text>
    </comment>
    <comment authorId="0" ref="A29">
      <text>
        <t xml:space="preserve">======
ID#AAACHaHOxIo
Adee Ran    (2026-09-21 19:51:46)
Continuous time filter, first pole frequency - values matching g_DC values or a single value</t>
      </text>
    </comment>
    <comment authorId="0" ref="J4">
      <text>
        <t xml:space="preserve">======
ID#AAACHaHOxJY
Richard Mellitz    (2026-09-21 19:51:46)
Target Detector Error Ratio</t>
      </text>
    </comment>
    <comment authorId="0" ref="A27">
      <text>
        <t xml:space="preserve">======
ID#AAACHaHOxIE
Richard Mellitz    (2026-09-21 19:51:46)
Continuous time filter,  DC gain - possible values</t>
      </text>
    </comment>
    <comment authorId="0" ref="A25">
      <text>
        <t xml:space="preserve">======
ID#AAACHaHOxI0
Adee Ran    (2026-09-21 19:51:46)
DFE magnitude limit, first coefficient
(ignored if Nb=0)</t>
      </text>
    </comment>
    <comment authorId="0" ref="F29">
      <text>
        <t xml:space="preserve">======
ID#AAACHaHOxIY
Adee Ran    (2026-09-21 19:51:46)
Transmitter signal-to-noise ratio</t>
      </text>
    </comment>
    <comment authorId="0" ref="A23">
      <text>
        <t xml:space="preserve">======
ID#AAACHaHOxJQ
Adee Ran    (2026-09-21 19:51:46)
DFE magnitude limit, first coefficient
(ignored if Nb=0)</t>
      </text>
    </comment>
    <comment authorId="0" ref="F27">
      <text>
        <t xml:space="preserve">======
ID#AAACHaHOxJU
Adee Ran    (2026-09-21 19:51:46)
Dual-Dirac jitter, peak (modeled as EBUJ in subclause 92.8.3.8.2)</t>
      </text>
    </comment>
    <comment authorId="0" ref="O4">
      <text>
        <t xml:space="preserve">======
ID#AAACHaHOxH8
Richard Mellitz    (2026-09-21 19:51:46)
noise source iteration step for Rx calibraion</t>
      </text>
    </comment>
    <comment authorId="0" ref="A21">
      <text>
        <t xml:space="preserve">======
ID#AAACHaHOxJo
Adee Ran    (2026-09-21 19:51:46)
Transmitter equalizer, post-cursor coefficient possible values</t>
      </text>
    </comment>
    <comment authorId="0" ref="A17">
      <text>
        <t xml:space="preserve">======
ID#AAACHaHOxIg
Adee Ran    (2026-09-21 19:51:46)
Transmitter equalizer, pre-cursor coefficient possible values</t>
      </text>
    </comment>
    <comment authorId="0" ref="A15">
      <text>
        <t xml:space="preserve">======
ID#AAACHaHOxII
Rich Mellitz    (2026-09-21 19:51:46)
Receiver bandwidth scaled to fb. Basiclly a Bessel-Thompsen filter</t>
      </text>
    </comment>
    <comment authorId="0" ref="A13">
      <text>
        <t xml:space="preserve">======
ID#AAACHaHOxI8
Adee Ran    (2026-09-21 19:51:46)
Samples per UI</t>
      </text>
    </comment>
    <comment authorId="0" ref="F17">
      <text>
        <t xml:space="preserve">======
ID#AAACHaHOxIM
Richard Mellitz    (2026-09-21 19:51:46)
BW Rx Fileer for TDR</t>
      </text>
    </comment>
    <comment authorId="0" ref="F13">
      <text>
        <t xml:space="preserve">======
ID#AAACHaHOxJ0
Richard Mellitz    (2026-09-21 19:51:46)
invokes pulse TDR</t>
      </text>
    </comment>
    <comment authorId="0" ref="F9">
      <text>
        <t xml:space="preserve">======
ID#AAACHaHOxIA
Richard Mellitz    (2026-09-21 19:51:46)
bar chart  = 0
bath tub=1</t>
      </text>
    </comment>
    <comment authorId="0" ref="A3">
      <text>
        <t xml:space="preserve">======
ID#AAACHaHOxJ4
Rich Mellitz    (2026-09-21 19:51:46)
ignored if called calling is extermal. Get this from external program</t>
      </text>
    </comment>
    <comment authorId="0" ref="F7">
      <text>
        <t xml:space="preserve">======
ID#AAACHaHOxJM
Young, Kenneth    (2026-09-21 19:51:46)
This is the [TX|RX] port order of the sNp file.
CURRENTLY THIS LINE HAS TO BE ENTERED MANUALLY
s4p example: [1 2 3 4] or [1 3 2 4]
                      TX | RX       TX | RX
s12p example: [1 2 3 4 5 6 7 8 9 10 11 12] or [1 3 5 7 9 11 2 4 6 8 10 12] 
                              TX      |        RX                        TX      |        RX</t>
      </text>
    </comment>
  </commentList>
  <extLst>
    <ext uri="GoogleSheetsCustomDataVersion2">
      <go:sheetsCustomData xmlns:go="http://customooxmlschemas.google.com/" r:id="rId1" roundtripDataSignature="AMtx7mj8Flxm3vlHNRE4Rj+P1wln/SdtqQ=="/>
    </ext>
  </extLst>
</comments>
</file>

<file path=xl/sharedStrings.xml><?xml version="1.0" encoding="utf-8"?>
<sst xmlns="http://schemas.openxmlformats.org/spreadsheetml/2006/main" count="1346" uniqueCount="847">
  <si>
    <t>%% License Notice</t>
  </si>
  <si>
    <t>%</t>
  </si>
  <si>
    <t>% Copyright 2025 802-COM Authors</t>
  </si>
  <si>
    <t xml:space="preserve">% </t>
  </si>
  <si>
    <t>% Redistribution and use in source and binary forms, with or without</t>
  </si>
  <si>
    <t>% modification, are permitted provided that the following conditions are</t>
  </si>
  <si>
    <t>% met:</t>
  </si>
  <si>
    <t>% - Redistributions of source code must retain the above copyright</t>
  </si>
  <si>
    <t>% notice, this list of conditions and the following disclaimer.</t>
  </si>
  <si>
    <t>% - Redistributions in binary form must reproduce the above copyright</t>
  </si>
  <si>
    <t>% notice, this list of conditions and the following disclaimer in the</t>
  </si>
  <si>
    <t>% documentation and/or other materials provided with the distribution.</t>
  </si>
  <si>
    <t>% - Neither the name of the copyright holder nor the names of its</t>
  </si>
  <si>
    <t>% contributors may be used to endorse or promote products derived from</t>
  </si>
  <si>
    <t>% this software without specific prior written permission.</t>
  </si>
  <si>
    <t>% THIS SOFTWARE IS PROVIDED BY THE COPYRIGHT HOLDERS AND CONTRIBUTORS</t>
  </si>
  <si>
    <t>% "AS IS" AND ANY EXPRESS OR IMPLIED WARRANTIES, INCLUDING, BUT NOT</t>
  </si>
  <si>
    <t>% LIMITED TO, THE IMPLIED WARRANTIES OF MERCHANTABILITY AND FITNESS FOR</t>
  </si>
  <si>
    <t>% A PARTICULAR PURPOSE ARE DISCLAIMED. IN NO EVENT SHALL THE COPYRIGHT</t>
  </si>
  <si>
    <t>% HOLDER OR CONTRIBUTORS BE LIABLE FOR ANY DIRECT, INDIRECT, INCIDENTAL,</t>
  </si>
  <si>
    <t>% SPECIAL, EXEMPLARY, OR CONSEQUENTIAL DAMAGES (INCLUDING, BUT NOT</t>
  </si>
  <si>
    <t>% LIMITED TO, PROCUREMENT OF SUBSTITUTE GOODS OR SERVICES; LOSS OF USE,</t>
  </si>
  <si>
    <t>ports</t>
  </si>
  <si>
    <t>% DATA, OR PROFITS; OR BUSINESS INTERRUPTION) HOWEVER CAUSED AND ON ANY</t>
  </si>
  <si>
    <t>% THEORY OF LIABILITY, WHETHER IN CONTRACT, STRICT LIABILITY, OR TORT</t>
  </si>
  <si>
    <t>% (INCLUDING NEGLIGENCE OR OTHERWISE) ARISING IN ANY WAY OUT OF THE USE</t>
  </si>
  <si>
    <t>% OF THIS SOFTWARE, EVEN IF ADVISED OF THE POSSIBILITY OF SUCH DAMAGE.</t>
  </si>
  <si>
    <t>% SPDX-License-Identifier: BSD-3-Clause</t>
  </si>
  <si>
    <t>[ 1 3 2 4 ]</t>
  </si>
  <si>
    <t>[ 1 2 3 4 ]</t>
  </si>
  <si>
    <t>[ 3 1 2 4 ]</t>
  </si>
  <si>
    <t>[ 2 1 3 4 ]</t>
  </si>
  <si>
    <t>[ 1 3 4 2 ]</t>
  </si>
  <si>
    <t>[ 1 2 4 3 ]</t>
  </si>
  <si>
    <t>[ 3 1 4 2 ]</t>
  </si>
  <si>
    <t>[ 2 1 4 3 ]</t>
  </si>
  <si>
    <t>Var1</t>
  </si>
  <si>
    <t>data rate, die load, ref impedance</t>
  </si>
  <si>
    <t>Var2</t>
  </si>
  <si>
    <t>Var3</t>
  </si>
  <si>
    <t>Var4</t>
  </si>
  <si>
    <t>I/O control</t>
  </si>
  <si>
    <t>matlab variable</t>
  </si>
  <si>
    <t>keyword</t>
  </si>
  <si>
    <t>default</t>
  </si>
  <si>
    <t>info</t>
  </si>
  <si>
    <t>Operational</t>
  </si>
  <si>
    <t xml:space="preserve">param_struct.C_pkg_board </t>
  </si>
  <si>
    <t>C_p</t>
  </si>
  <si>
    <t xml:space="preserve">4e-05 4e-05 </t>
  </si>
  <si>
    <t xml:space="preserve"> C_p in nF (single sided)</t>
  </si>
  <si>
    <t>SAVE_CONFIG2MAT</t>
  </si>
  <si>
    <t xml:space="preserve">param_struct.R_diepad </t>
  </si>
  <si>
    <t>R_d</t>
  </si>
  <si>
    <t xml:space="preserve">50 50 </t>
  </si>
  <si>
    <t xml:space="preserve"> Die source termination resistance  (single sided)</t>
  </si>
  <si>
    <t xml:space="preserve">param_struct.a_thru </t>
  </si>
  <si>
    <t>A_v</t>
  </si>
  <si>
    <t xml:space="preserve">0.4057 0.4143 0.4143 0.4143 </t>
  </si>
  <si>
    <t xml:space="preserve"> Victim differential peak source output voltage (half of peak to peak)</t>
  </si>
  <si>
    <t>Parameter</t>
  </si>
  <si>
    <t xml:space="preserve">param_struct.a_fext </t>
  </si>
  <si>
    <t>A_fe</t>
  </si>
  <si>
    <t>Setting</t>
  </si>
  <si>
    <t xml:space="preserve"> FEXT aggressor differential peak source output voltage (half of peak to peak)</t>
  </si>
  <si>
    <t>Units</t>
  </si>
  <si>
    <t>Information</t>
  </si>
  <si>
    <t>DIAGNOSTICS</t>
  </si>
  <si>
    <t xml:space="preserve">param_struct.a_next </t>
  </si>
  <si>
    <t>A_ne</t>
  </si>
  <si>
    <t xml:space="preserve">0.6 0.6 0.6 0.6 </t>
  </si>
  <si>
    <t xml:space="preserve"> NEXT aggressor differential peak source output voltage (half of peak to peak)</t>
  </si>
  <si>
    <t>logical</t>
  </si>
  <si>
    <t>ERL Pass threshold</t>
  </si>
  <si>
    <t xml:space="preserve">param_struct.z_p_tx_cases </t>
  </si>
  <si>
    <t>z_p (TX)</t>
  </si>
  <si>
    <t xml:space="preserve">12 1.8 0 0 33 1.8 0 0 33 1.8 0 0 33 1.8 0 0 </t>
  </si>
  <si>
    <t xml:space="preserve"> List of victim transmitter package trace lengths in mm, one per case</t>
  </si>
  <si>
    <t>dB</t>
  </si>
  <si>
    <t>Receiver testing</t>
  </si>
  <si>
    <t xml:space="preserve">param_struct.z_p_next_cases </t>
  </si>
  <si>
    <t>z_p (NEXT)</t>
  </si>
  <si>
    <t xml:space="preserve"> List of NEXT transmitter package trace lengths in mm, one per case</t>
  </si>
  <si>
    <t>f_b</t>
  </si>
  <si>
    <t xml:space="preserve">param_struct.z_p_fext_cases </t>
  </si>
  <si>
    <t>z_p (FEXT)</t>
  </si>
  <si>
    <t>GBd</t>
  </si>
  <si>
    <t xml:space="preserve"> List of FEXT transmitter package trace lengths in mm, one per case</t>
  </si>
  <si>
    <t>DISPLAY_WINDOW</t>
  </si>
  <si>
    <t>COM Pass threshold</t>
  </si>
  <si>
    <t>db</t>
  </si>
  <si>
    <t xml:space="preserve">param_struct.z_p_rx_cases </t>
  </si>
  <si>
    <t>z_p (RX)</t>
  </si>
  <si>
    <t>RX_CALIBRATION</t>
  </si>
  <si>
    <t xml:space="preserve"> List of FEXT receiver package trace lengths in mm, one per case</t>
  </si>
  <si>
    <t>f_min</t>
  </si>
  <si>
    <t xml:space="preserve">param_struct.pkg_gamma0_a1_a2 </t>
  </si>
  <si>
    <t>GHz</t>
  </si>
  <si>
    <t>package_tl_gamma0_a1_a2</t>
  </si>
  <si>
    <t xml:space="preserve">0 0.001734 0.0001455 </t>
  </si>
  <si>
    <t>CSV_REPORT</t>
  </si>
  <si>
    <t>Fitting parameters for package model per unit length. First element is in 1/mm and affects DC loss of package model . Second element is in ns1/2/mm and affects loss proportional to sqrt(f). Third element is in ns/mm and affects loss proportional to f.</t>
  </si>
  <si>
    <t>DER_0</t>
  </si>
  <si>
    <t xml:space="preserve">param_struct.pkg_tau </t>
  </si>
  <si>
    <t>package_tl_tau</t>
  </si>
  <si>
    <t>Sigma BBN step</t>
  </si>
  <si>
    <t xml:space="preserve"> Package model transmission line delay ns/mm</t>
  </si>
  <si>
    <t>V</t>
  </si>
  <si>
    <t xml:space="preserve">param_struct.pkg_Z_c </t>
  </si>
  <si>
    <t>package_Z_c</t>
  </si>
  <si>
    <t xml:space="preserve"> Package model transmission line characteristic impedance [ Tx , Rx ]</t>
  </si>
  <si>
    <t>Delta_f</t>
  </si>
  <si>
    <t>RESULT_DIR</t>
  </si>
  <si>
    <t>.\results\CAKR_{date}\</t>
  </si>
  <si>
    <t>T_r</t>
  </si>
  <si>
    <t>ns</t>
  </si>
  <si>
    <t>ICN parameters</t>
  </si>
  <si>
    <t>C_d</t>
  </si>
  <si>
    <t>[0.4e-4  0.9e-4  1.1e-4 ;0.4e-4  0.9e-4  1.1e-4 ]</t>
  </si>
  <si>
    <t>nF</t>
  </si>
  <si>
    <t xml:space="preserve">0.4049 0.4114 0.4132 0.4173 </t>
  </si>
  <si>
    <t xml:space="preserve"> [TX RX]</t>
  </si>
  <si>
    <t>SAVE_FIGURES</t>
  </si>
  <si>
    <t>FORCE_TR</t>
  </si>
  <si>
    <t>for legacy but required</t>
  </si>
  <si>
    <t>T_t</t>
  </si>
  <si>
    <t>ps</t>
  </si>
  <si>
    <t>L_s</t>
  </si>
  <si>
    <t>[0.13 0.15 0.14; 0.13 0.15 0.14 ]</t>
  </si>
  <si>
    <t>nH</t>
  </si>
  <si>
    <t>[TX RX]</t>
  </si>
  <si>
    <t>Port Order</t>
  </si>
  <si>
    <t>[1 3 2 4]</t>
  </si>
  <si>
    <t>PMD_type</t>
  </si>
  <si>
    <t>C2C</t>
  </si>
  <si>
    <t>for MMSE use C2C only</t>
  </si>
  <si>
    <t>f_v</t>
  </si>
  <si>
    <t xml:space="preserve">8 2 1.3 1.5 24 2 1.3 1.5 30 2 1.3 1.5 45 2 1.3 1.5 </t>
  </si>
  <si>
    <t>C_b</t>
  </si>
  <si>
    <t>[0.3e-4  0.3e-4 ]</t>
  </si>
  <si>
    <t>RUNTAG</t>
  </si>
  <si>
    <t>KR_pkgA_</t>
  </si>
  <si>
    <t>EW</t>
  </si>
  <si>
    <t>T_ft</t>
  </si>
  <si>
    <t>Table 179B–2</t>
  </si>
  <si>
    <t>R_0</t>
  </si>
  <si>
    <t xml:space="preserve">0.4057 0.4057 0.4057 0.4057 </t>
  </si>
  <si>
    <t>Ohm</t>
  </si>
  <si>
    <t>COM_CONTRIBUTION</t>
  </si>
  <si>
    <t xml:space="preserve">logical </t>
  </si>
  <si>
    <t>MLSE</t>
  </si>
  <si>
    <t>T_nt</t>
  </si>
  <si>
    <t>PKG_NAME</t>
  </si>
  <si>
    <t xml:space="preserve">8 0 0 0 8 0 0 0 8 0 0 0 8 0 0 0 </t>
  </si>
  <si>
    <t>PKG_LowR_CLASSA PKG_LowR_CLASSA</t>
  </si>
  <si>
    <t>TX RX</t>
  </si>
  <si>
    <t>ts_anchor</t>
  </si>
  <si>
    <t>f_f</t>
  </si>
  <si>
    <t>z_p select</t>
  </si>
  <si>
    <t>[ 1 ]</t>
  </si>
  <si>
    <t xml:space="preserve">0 0 </t>
  </si>
  <si>
    <t>TDR and ERL options</t>
  </si>
  <si>
    <t>sample_adjustment</t>
  </si>
  <si>
    <t>[-24 24]</t>
  </si>
  <si>
    <t>f_n</t>
  </si>
  <si>
    <t>L</t>
  </si>
  <si>
    <t>TDR</t>
  </si>
  <si>
    <t>Local Search</t>
  </si>
  <si>
    <t>f_1</t>
  </si>
  <si>
    <t>M</t>
  </si>
  <si>
    <t xml:space="preserve">0 0 0 0 0 0 0 0 0 0 0 0 0 0 0 0 </t>
  </si>
  <si>
    <t>ERL</t>
  </si>
  <si>
    <t>flim</t>
  </si>
  <si>
    <t>Hz</t>
  </si>
  <si>
    <t>f_2</t>
  </si>
  <si>
    <t>filter and Eq</t>
  </si>
  <si>
    <t>ERL_ONLY</t>
  </si>
  <si>
    <t>zero_pad</t>
  </si>
  <si>
    <t>A_ft</t>
  </si>
  <si>
    <t>f_r</t>
  </si>
  <si>
    <t>*fb</t>
  </si>
  <si>
    <t>TR_TDR</t>
  </si>
  <si>
    <t>Filter: Rx FFE</t>
  </si>
  <si>
    <t>param.PKG_NAME</t>
  </si>
  <si>
    <t>A_nt</t>
  </si>
  <si>
    <t>-</t>
  </si>
  <si>
    <t xml:space="preserve"> </t>
  </si>
  <si>
    <t>param.kappa1</t>
  </si>
  <si>
    <t>kappa1</t>
  </si>
  <si>
    <t>c(0)</t>
  </si>
  <si>
    <t xml:space="preserve"> if set 0 reflection at tp0 are omitted from COM</t>
  </si>
  <si>
    <t>min</t>
  </si>
  <si>
    <t>N</t>
  </si>
  <si>
    <t>param.kappa2</t>
  </si>
  <si>
    <t>kappa2</t>
  </si>
  <si>
    <t xml:space="preserve"> if set 0 reflection at tp5 are omitted from COM</t>
  </si>
  <si>
    <t>ffe_pre_tap_len</t>
  </si>
  <si>
    <t>UI</t>
  </si>
  <si>
    <t>d_w</t>
  </si>
  <si>
    <t xml:space="preserve">OP.dynamic_txffe </t>
  </si>
  <si>
    <t>Dynamic TXFFE</t>
  </si>
  <si>
    <t xml:space="preserve"> Temporary switch for testing new optimize_fom with dynamic txffe</t>
  </si>
  <si>
    <t>c(-1)</t>
  </si>
  <si>
    <t>[ -0.34:.02:0]</t>
  </si>
  <si>
    <t>[min:step:max]</t>
  </si>
  <si>
    <t>TDR_Butterworth</t>
  </si>
  <si>
    <t xml:space="preserve">OP.FloatingDFE_Development </t>
  </si>
  <si>
    <t>ffe_post_tap_len</t>
  </si>
  <si>
    <t>FloatingDFE_Development</t>
  </si>
  <si>
    <t xml:space="preserve"> Temporary switch for testing new floating dfe routine</t>
  </si>
  <si>
    <t>N_fix-d_w</t>
  </si>
  <si>
    <t xml:space="preserve">param.fb </t>
  </si>
  <si>
    <t>c(-2)</t>
  </si>
  <si>
    <t xml:space="preserve"> Baud (Signaling) rate in Gbaud</t>
  </si>
  <si>
    <t>[ 0:.02:0.14]</t>
  </si>
  <si>
    <t>[ 0.14:.02:0]</t>
  </si>
  <si>
    <t>beta_x</t>
  </si>
  <si>
    <t>ffe_pre_tap1_max</t>
  </si>
  <si>
    <t>(normalized)</t>
  </si>
  <si>
    <t>w_max(d_w) and -w_min(d_w)</t>
  </si>
  <si>
    <t xml:space="preserve">param.f2 </t>
  </si>
  <si>
    <t>board_tl_gamma0_a1_a2</t>
  </si>
  <si>
    <t xml:space="preserve"> frequency in GHz for intergration compuation of ICN or FOM_Ild in GHz</t>
  </si>
  <si>
    <t>[0 5.95e-4  2.6e-05]</t>
  </si>
  <si>
    <t xml:space="preserve">param.max_start_freq </t>
  </si>
  <si>
    <t>1.4 db/in @ 53.125G</t>
  </si>
  <si>
    <t xml:space="preserve"> minimum required frequency start for s parameters</t>
  </si>
  <si>
    <t>c(-3)</t>
  </si>
  <si>
    <t xml:space="preserve">param.f1 </t>
  </si>
  <si>
    <t>rho_x</t>
  </si>
  <si>
    <t xml:space="preserve"> start frequency for ICN and ILD calculations in GHz</t>
  </si>
  <si>
    <t>ffe_post_tap1_max</t>
  </si>
  <si>
    <t>w_max(d_w+2) and -w_min(d_w+2)</t>
  </si>
  <si>
    <t>board_tl_tau</t>
  </si>
  <si>
    <t xml:space="preserve">param.max_freq_step </t>
  </si>
  <si>
    <t xml:space="preserve"> freqency step</t>
  </si>
  <si>
    <t>ns/mm</t>
  </si>
  <si>
    <t xml:space="preserve">param.tx_ffe_c0_min </t>
  </si>
  <si>
    <t>c(-4)</t>
  </si>
  <si>
    <t xml:space="preserve"> TX equalizer cursor minimum value (actual value is calculated as 1-sum(abs(tap)), Grid seat ingored for when C(0) is below this value</t>
  </si>
  <si>
    <t xml:space="preserve">param.ndfe </t>
  </si>
  <si>
    <t>N_b</t>
  </si>
  <si>
    <t xml:space="preserve"> Decision feedback fixed equalizer (DFE) length</t>
  </si>
  <si>
    <t>TDR_W_TXPKG</t>
  </si>
  <si>
    <t>ffe_tapn_max</t>
  </si>
  <si>
    <t>all other fixed w_max and w_min</t>
  </si>
  <si>
    <t>board_Z_c</t>
  </si>
  <si>
    <t xml:space="preserve">param.N_v </t>
  </si>
  <si>
    <t>N_v</t>
  </si>
  <si>
    <t xml:space="preserve"> number of UI used to compute Vf</t>
  </si>
  <si>
    <t>c(1)</t>
  </si>
  <si>
    <t>[ -0.2:.02:0]</t>
  </si>
  <si>
    <t>N_bx</t>
  </si>
  <si>
    <t>??</t>
  </si>
  <si>
    <t>num_ui_RXFF_noise</t>
  </si>
  <si>
    <t xml:space="preserve">param.D_p </t>
  </si>
  <si>
    <t>D_p</t>
  </si>
  <si>
    <t>z_bp (TX)</t>
  </si>
  <si>
    <t xml:space="preserve"> number of precursor UI's used to compute Vf Default to 10</t>
  </si>
  <si>
    <t>mm</t>
  </si>
  <si>
    <t xml:space="preserve">param.N_bx </t>
  </si>
  <si>
    <t xml:space="preserve"> Used for ERL to Compensate for a number of Ui assoicated with the DFE</t>
  </si>
  <si>
    <t>fixture delay time</t>
  </si>
  <si>
    <t>[ 0 0 ]</t>
  </si>
  <si>
    <t>param.N_bg</t>
  </si>
  <si>
    <t>N_bg</t>
  </si>
  <si>
    <t>Floating Tap Control</t>
  </si>
  <si>
    <t xml:space="preserve"> number of group of floating tap. Used as a switch, 0 means no float</t>
  </si>
  <si>
    <t>param.N_bf</t>
  </si>
  <si>
    <t>N_bf</t>
  </si>
  <si>
    <t xml:space="preserve"> number of taps in group</t>
  </si>
  <si>
    <t>z_bp (NEXT)</t>
  </si>
  <si>
    <t>param.N_bmax</t>
  </si>
  <si>
    <t>N_bmax</t>
  </si>
  <si>
    <t>b_max(1)</t>
  </si>
  <si>
    <t xml:space="preserve"> UI span for floating taps</t>
  </si>
  <si>
    <t>N_f</t>
  </si>
  <si>
    <t>As/dffe1</t>
  </si>
  <si>
    <t xml:space="preserve"> UI span for floating taps. replaced by N_bmax</t>
  </si>
  <si>
    <t>Tukey_Window</t>
  </si>
  <si>
    <t>param.N_f</t>
  </si>
  <si>
    <t xml:space="preserve"> UI span for floating taps for rX FFE</t>
  </si>
  <si>
    <t xml:space="preserve"> 0 1 2 or 3 groups</t>
  </si>
  <si>
    <t>N_wg</t>
  </si>
  <si>
    <t>z_bp (FEXT)</t>
  </si>
  <si>
    <t>param.bmaxg</t>
  </si>
  <si>
    <t>bmaxg</t>
  </si>
  <si>
    <t xml:space="preserve"> max DFE value for floating taps</t>
  </si>
  <si>
    <t>b_max(2..N_b)</t>
  </si>
  <si>
    <t>not used</t>
  </si>
  <si>
    <t>Z_t</t>
  </si>
  <si>
    <t>param.B_float_RSS_MAX</t>
  </si>
  <si>
    <t>B_float_RSS_MAX</t>
  </si>
  <si>
    <t xml:space="preserve"> floating DFE tap start for RSS floating tap limit</t>
  </si>
  <si>
    <t>taps per group</t>
  </si>
  <si>
    <t>N_wf</t>
  </si>
  <si>
    <t>z_bp (RX)</t>
  </si>
  <si>
    <t>param.N_tail_start</t>
  </si>
  <si>
    <t>N_tail_start</t>
  </si>
  <si>
    <t xml:space="preserve"> start range for max RSS limit for DFE taps</t>
  </si>
  <si>
    <t>b_min(1)</t>
  </si>
  <si>
    <t>Noise, jitter</t>
  </si>
  <si>
    <t xml:space="preserve">param.dfe_delta </t>
  </si>
  <si>
    <t>N_b_step</t>
  </si>
  <si>
    <t xml:space="preserve"> discreatiztion of DFE, 0 disables and is not normally used</t>
  </si>
  <si>
    <t>UI span for floating taps</t>
  </si>
  <si>
    <t>Nmax-d_w-1</t>
  </si>
  <si>
    <t>C_0</t>
  </si>
  <si>
    <t>param.ffe_pre_tap_len</t>
  </si>
  <si>
    <t xml:space="preserve"> RX ffe pre cursor tap length</t>
  </si>
  <si>
    <t>b_min(2..N_b)</t>
  </si>
  <si>
    <t>S</t>
  </si>
  <si>
    <t>sigma_RJ</t>
  </si>
  <si>
    <t>param.ffe_post_tap_len</t>
  </si>
  <si>
    <t>max FFE value for floating taps</t>
  </si>
  <si>
    <t>all floating w_max and w_min</t>
  </si>
  <si>
    <t xml:space="preserve"> Rx FFE post cursor tap length</t>
  </si>
  <si>
    <t>C_1</t>
  </si>
  <si>
    <t>param.ffe_tap_step_size</t>
  </si>
  <si>
    <t>g_DC</t>
  </si>
  <si>
    <t>ffe_tap_step_size</t>
  </si>
  <si>
    <t xml:space="preserve"> Rx FFE tap step size</t>
  </si>
  <si>
    <t>[-20:1:0]</t>
  </si>
  <si>
    <t>A_DD</t>
  </si>
  <si>
    <t>V^2/GHz</t>
  </si>
  <si>
    <t>param.ffe_main_cursor_min</t>
  </si>
  <si>
    <t>ffe_main_cursor_min</t>
  </si>
  <si>
    <t xml:space="preserve"> Rx FFE main cursor miminum </t>
  </si>
  <si>
    <t>param.ffe_pre_tap1_max</t>
  </si>
  <si>
    <t xml:space="preserve"> Rx FFE precursor tap1 limit</t>
  </si>
  <si>
    <t>param.ffe_post_tap1_max</t>
  </si>
  <si>
    <t xml:space="preserve"> Rx FFE post cursor tap1 limit</t>
  </si>
  <si>
    <t>(UI) start of tail taps limit</t>
  </si>
  <si>
    <t>param.ffe_tapn_max</t>
  </si>
  <si>
    <t xml:space="preserve"> Rx FFE precursor tapn limit</t>
  </si>
  <si>
    <t>not supposed to be used but untested</t>
  </si>
  <si>
    <t>Include PCB</t>
  </si>
  <si>
    <t>param.ffe_backoff</t>
  </si>
  <si>
    <t>ffe_backoff</t>
  </si>
  <si>
    <t xml:space="preserve"> see if better zero foreced solution is better by backing off the number specified FFE taps one at at time</t>
  </si>
  <si>
    <t>f_z</t>
  </si>
  <si>
    <t>param.num_ui_RXFF_noise</t>
  </si>
  <si>
    <t xml:space="preserve">param.g_DC_HP_values </t>
  </si>
  <si>
    <t>g_DC_HP</t>
  </si>
  <si>
    <t xml:space="preserve"> CTF AC-DC gain list (GDC2)</t>
  </si>
  <si>
    <t>eta_0</t>
  </si>
  <si>
    <t xml:space="preserve">param.f_HP </t>
  </si>
  <si>
    <t>f_HP_PZ</t>
  </si>
  <si>
    <t xml:space="preserve"> CFT pole pole zero pair in GHz for low frequency CTF</t>
  </si>
  <si>
    <t>TS_SRCH_MODE</t>
  </si>
  <si>
    <t>full-sweep</t>
  </si>
  <si>
    <t xml:space="preserve">param.f_HP_Z </t>
  </si>
  <si>
    <t>f_HP_Z</t>
  </si>
  <si>
    <t xml:space="preserve"> CFT zero fz1 is in GHz. Normally a list for 120e. Not normally use elsewise</t>
  </si>
  <si>
    <t>f_p1</t>
  </si>
  <si>
    <t xml:space="preserve">param.f_HP_P </t>
  </si>
  <si>
    <t>f_HP_P</t>
  </si>
  <si>
    <t xml:space="preserve"> CFT pole fp2 is in GHz. Normally a list for 120e. Not normally use elsewise</t>
  </si>
  <si>
    <t>param.Min_VEO</t>
  </si>
  <si>
    <t>SNR_TX</t>
  </si>
  <si>
    <t>EH_min</t>
  </si>
  <si>
    <t xml:space="preserve"> used when PMD_type is C2M</t>
  </si>
  <si>
    <t>Non-zero Local Search Method</t>
  </si>
  <si>
    <t xml:space="preserve"> 0: Current local search; 1: Adaptive local search</t>
  </si>
  <si>
    <t>param.Max_VEO</t>
  </si>
  <si>
    <t>EH_max</t>
  </si>
  <si>
    <t xml:space="preserve"> This only comes into play when “Local Search” is greater than zero</t>
  </si>
  <si>
    <t xml:space="preserve">Inf </t>
  </si>
  <si>
    <t xml:space="preserve"> used when PMD_type is C2M and is not really computed per spec</t>
  </si>
  <si>
    <t>f_p2</t>
  </si>
  <si>
    <t>param.Min_VEO_Test</t>
  </si>
  <si>
    <t>EH_min_test</t>
  </si>
  <si>
    <t xml:space="preserve"> Older syntax. Used when PMD_type is C2M. This allow EH to go below EH_min. If set to zero it is ignored (same as Min_VEO_test)</t>
  </si>
  <si>
    <t>Min_VEO_Test</t>
  </si>
  <si>
    <t>R_LM</t>
  </si>
  <si>
    <t xml:space="preserve"> used when PMD_type is C2M. This allow EH to go blow EH_min. If set to Zero it is ignored</t>
  </si>
  <si>
    <t>Clip Method</t>
  </si>
  <si>
    <t>Slow</t>
  </si>
  <si>
    <t>"slow" or "Fast": Typing mistake fixed in COM v4p16</t>
  </si>
  <si>
    <t>param.CTLE_type</t>
  </si>
  <si>
    <t>CTLE_type</t>
  </si>
  <si>
    <t>CL93</t>
  </si>
  <si>
    <t xml:space="preserve"> Sets the CTLE type default is poles and zeros (i.e. not a list of poles as in 120e) </t>
  </si>
  <si>
    <t>[-6:1:0]</t>
  </si>
  <si>
    <t>N_qb</t>
  </si>
  <si>
    <t xml:space="preserve">param.ctle_gdc_values </t>
  </si>
  <si>
    <t>P_peak</t>
  </si>
  <si>
    <t>P_qc</t>
  </si>
  <si>
    <t xml:space="preserve"> AC-DC gain list</t>
  </si>
  <si>
    <t xml:space="preserve">param.CTLE_fp1 </t>
  </si>
  <si>
    <t xml:space="preserve"> fp1 is in GHz</t>
  </si>
  <si>
    <t xml:space="preserve">param.CTLE_fp2 </t>
  </si>
  <si>
    <t>.START</t>
  </si>
  <si>
    <t xml:space="preserve"> fp2 is in GHz</t>
  </si>
  <si>
    <t>PKG_LowR_CLASSA</t>
  </si>
  <si>
    <t xml:space="preserve">param.CTLE_fz </t>
  </si>
  <si>
    <t xml:space="preserve"> fz is in GHz</t>
  </si>
  <si>
    <t xml:space="preserve">        param.g_DC_HP_values </t>
  </si>
  <si>
    <t xml:space="preserve"> Continuous time filter DC gain settings (G_DC2)</t>
  </si>
  <si>
    <t xml:space="preserve">        param.f_HP </t>
  </si>
  <si>
    <t xml:space="preserve"> fLF is in GHz</t>
  </si>
  <si>
    <t xml:space="preserve">param.GDC_MIN </t>
  </si>
  <si>
    <t>GDC_MIN</t>
  </si>
  <si>
    <t xml:space="preserve"> max ACDC gain, if 0 ignore</t>
  </si>
  <si>
    <t>param.cursor_gain</t>
  </si>
  <si>
    <t>crusor_gain</t>
  </si>
  <si>
    <t xml:space="preserve"> only FFE and not supported</t>
  </si>
  <si>
    <t xml:space="preserve">param.a_thru </t>
  </si>
  <si>
    <t>[ 0.0005 0.00089 0.0002 ]</t>
  </si>
  <si>
    <t xml:space="preserve">param.a_fext </t>
  </si>
  <si>
    <t xml:space="preserve">param.a_next </t>
  </si>
  <si>
    <t xml:space="preserve">param.a_icn_fext </t>
  </si>
  <si>
    <t xml:space="preserve"> FEXT aggressor amplitude for ICN. Defaults to A_fe if not specified</t>
  </si>
  <si>
    <t xml:space="preserve">param.a_icn_next </t>
  </si>
  <si>
    <t xml:space="preserve"> NEXT aggressor amplitude for ICN. Defaults to A_ne if not specified</t>
  </si>
  <si>
    <t xml:space="preserve">param.levels </t>
  </si>
  <si>
    <t xml:space="preserve"> number of symbols levels (PAM-4 is 4, NRZ is 2)</t>
  </si>
  <si>
    <t xml:space="preserve">param.specBER </t>
  </si>
  <si>
    <t xml:space="preserve"> Target detector error ratio</t>
  </si>
  <si>
    <t>[87.5 87.5 ; 95 95 ;  100 100; 100 100]</t>
  </si>
  <si>
    <t xml:space="preserve">param.pass_threshold </t>
  </si>
  <si>
    <t xml:space="preserve"> the pass fail threshold for COM in dB</t>
  </si>
  <si>
    <t xml:space="preserve">param.ERL_pass_threshold </t>
  </si>
  <si>
    <t xml:space="preserve"> the pass fail threshold for ERL in dB</t>
  </si>
  <si>
    <t>[ 46.25 46.25]</t>
  </si>
  <si>
    <t xml:space="preserve">param.VEC_pass_threshold </t>
  </si>
  <si>
    <t xml:space="preserve"> [TX RX] </t>
  </si>
  <si>
    <t>VEC Pass threshold</t>
  </si>
  <si>
    <t xml:space="preserve"> the pass fail threshold for VEC in dB only used when PMD_type is C2M</t>
  </si>
  <si>
    <t xml:space="preserve">param.sigma_RJ </t>
  </si>
  <si>
    <t xml:space="preserve"> rms of of random jitter</t>
  </si>
  <si>
    <t>[ 12  33 33 33  ; 1.8 1.8 1.8 1.8 ; 0 0 0 0  ; 0 0 0 0  ]</t>
  </si>
  <si>
    <t>[test cases]</t>
  </si>
  <si>
    <t xml:space="preserve">param.A_DD </t>
  </si>
  <si>
    <t xml:space="preserve"> Normalized peak dual-Dirac noise, this is half of the total bound uncorrelated jitter (BUJ) in UI</t>
  </si>
  <si>
    <t xml:space="preserve">param.eta_0 </t>
  </si>
  <si>
    <t xml:space="preserve"> One-sided noise spectral density (V^2/GHz).Input refered noise at TP5. Input referred noise at TP5</t>
  </si>
  <si>
    <t xml:space="preserve">param.SNDR </t>
  </si>
  <si>
    <t xml:space="preserve"> Transmitter SNDR noise in dB</t>
  </si>
  <si>
    <t xml:space="preserve">param.R_LM </t>
  </si>
  <si>
    <t xml:space="preserve"> Ratio of level separation mismatch. Relevant when not PAM-2 (NRZ).</t>
  </si>
  <si>
    <t xml:space="preserve">param.samples_per_ui </t>
  </si>
  <si>
    <t xml:space="preserve"> Samples per UI</t>
  </si>
  <si>
    <t xml:space="preserve">param.ts_sample_adj_range </t>
  </si>
  <si>
    <t>sample point adjustment range</t>
  </si>
  <si>
    <t xml:space="preserve">param.ts_anchor </t>
  </si>
  <si>
    <t>choice of sampling routine.  0=MM, 1=Peak, 2=max DV (max cursor minus precursor)</t>
  </si>
  <si>
    <t xml:space="preserve">param.bmax(1:param.ndfe)     </t>
  </si>
  <si>
    <t>[0.4e-4  0.4e-4]</t>
  </si>
  <si>
    <t xml:space="preserve"> DFE magnitude limit, first coefficient(ignored if Nb=0)</t>
  </si>
  <si>
    <t xml:space="preserve">    param.bmin(1:param.ndfe)     </t>
  </si>
  <si>
    <t xml:space="preserve"> DFE negative magnitude limit. If not specified it defaults to -bmax.</t>
  </si>
  <si>
    <t>param.gqual</t>
  </si>
  <si>
    <t>G_Qual</t>
  </si>
  <si>
    <t xml:space="preserve"> G_Qual are the dB ranges of g_DC g DC )which correspond tog_DC_HP (g DC2)</t>
  </si>
  <si>
    <t>param.g2qual</t>
  </si>
  <si>
    <t>Vf=0.400</t>
  </si>
  <si>
    <t>G2_Qual</t>
  </si>
  <si>
    <t xml:space="preserve"> G2_Qual limit values of g_DC_HP (g DC2 ) which corresponds to ranges of g_DC g DC specified with G_QUAL</t>
  </si>
  <si>
    <t xml:space="preserve">param.C_pkg_board </t>
  </si>
  <si>
    <t xml:space="preserve">param.C_diepad </t>
  </si>
  <si>
    <t>Vf=0.399</t>
  </si>
  <si>
    <t xml:space="preserve">4e-05 4e-05 9e-05 9e-05 0.00011 0.00011 </t>
  </si>
  <si>
    <t xml:space="preserve"> C_d in nF (single sided)</t>
  </si>
  <si>
    <t xml:space="preserve">param.L_comp </t>
  </si>
  <si>
    <t xml:space="preserve"> L_s in nH (single sided)</t>
  </si>
  <si>
    <t>.END</t>
  </si>
  <si>
    <t xml:space="preserve">param.C_bump </t>
  </si>
  <si>
    <t xml:space="preserve"> C_b in nF (single sided)</t>
  </si>
  <si>
    <t xml:space="preserve">param.C_v </t>
  </si>
  <si>
    <t>C_v</t>
  </si>
  <si>
    <t xml:space="preserve"> C_v in nF (via cap)  (single sided)</t>
  </si>
  <si>
    <t xml:space="preserve">param.R_diepad </t>
  </si>
  <si>
    <t>PKG_HiR_CLASSB</t>
  </si>
  <si>
    <t xml:space="preserve">param.Z_t </t>
  </si>
  <si>
    <t xml:space="preserve">  single sided source termination reference resistance for TDR and ERL </t>
  </si>
  <si>
    <t xml:space="preserve">param.TR_TDR </t>
  </si>
  <si>
    <t xml:space="preserve">  Gaussian shaped transition time for TDR source in ns </t>
  </si>
  <si>
    <t xml:space="preserve">param.Z0 </t>
  </si>
  <si>
    <t xml:space="preserve">param.z_p_tx_cases </t>
  </si>
  <si>
    <t xml:space="preserve">8 1 1 0.5 24 1 1 0.5 30 1 1 0.5 45 1 1 0.5 </t>
  </si>
  <si>
    <t xml:space="preserve">param.C_0 </t>
  </si>
  <si>
    <t xml:space="preserve"> If Include PCB is set to 1, near device single ended capacitance C0  in nF is added  </t>
  </si>
  <si>
    <t>[ 0.0005 0.00065 0.000293 ]</t>
  </si>
  <si>
    <t xml:space="preserve">param.C_1 </t>
  </si>
  <si>
    <t xml:space="preserve"> if Include PCB is set to 1, connector side single ended capacitance C1 in nF is added </t>
  </si>
  <si>
    <t xml:space="preserve">param.z_p_next_cases </t>
  </si>
  <si>
    <t xml:space="preserve">param.z_p_fext_cases </t>
  </si>
  <si>
    <t xml:space="preserve">param.z_p_rx_cases </t>
  </si>
  <si>
    <t xml:space="preserve">param.pkg_gamma0_a1_a2 </t>
  </si>
  <si>
    <t>[87.5 87.5 ; 95 95 ;  100 100; 78 78]</t>
  </si>
  <si>
    <t xml:space="preserve">param.pkg_tau </t>
  </si>
  <si>
    <t xml:space="preserve">param.pkg_Z_c </t>
  </si>
  <si>
    <t>[ 8  24 30  45 ; 2 2 2 2;  1.3 1.3 1.3 1.3 ; 1.5 1.5 1.5 1.5   ]</t>
  </si>
  <si>
    <t xml:space="preserve">param.PKG_Tx_FFE_preset </t>
  </si>
  <si>
    <t>PKG_Tx_FFE_preset</t>
  </si>
  <si>
    <t xml:space="preserve"> RIM 08-18-2022 for Tx preset capability</t>
  </si>
  <si>
    <t xml:space="preserve">param.brd_gamma0_a1_a2 </t>
  </si>
  <si>
    <t xml:space="preserve">0 0.0004114 0.0002547 </t>
  </si>
  <si>
    <t>[ 8  24 29  44 ; 2 2 2 2;  1.3 1.3 1.3 1.3 ; 1.5 1.5 1.5 1.5   ]</t>
  </si>
  <si>
    <t xml:space="preserve"> Fitting parameters for package model per unit length. First element is in 1/mm and affects DC loss of package model . Second element is in ns1/2/mm and affects loss proportional to sqrt(f). Third element is in ns/mm and affects loss proportional to f.</t>
  </si>
  <si>
    <t xml:space="preserve">param.brd_tau </t>
  </si>
  <si>
    <t xml:space="preserve"> Board model transmission line delay ns/mm</t>
  </si>
  <si>
    <t xml:space="preserve">param.brd_Z_c </t>
  </si>
  <si>
    <t xml:space="preserve"> Board model transmission line characteristic impedance [ Tx , Rx ]</t>
  </si>
  <si>
    <t xml:space="preserve">param.z_bp_tx </t>
  </si>
  <si>
    <t xml:space="preserve">  Victim transmitter board trace lengths in mm</t>
  </si>
  <si>
    <t xml:space="preserve">param.z_bp_next </t>
  </si>
  <si>
    <t xml:space="preserve"> Next Assessor transmitter board trace lengths in mm</t>
  </si>
  <si>
    <t xml:space="preserve">param.z_bp_fext </t>
  </si>
  <si>
    <t xml:space="preserve"> Rext Assessor transmitter board trace lengths in mm</t>
  </si>
  <si>
    <t xml:space="preserve">param.z_bp_rx </t>
  </si>
  <si>
    <t xml:space="preserve"> Victim receiver board trace lengths in mm</t>
  </si>
  <si>
    <t xml:space="preserve">param.snpPortsOrder </t>
  </si>
  <si>
    <t xml:space="preserve">1 3 2 4 </t>
  </si>
  <si>
    <t xml:space="preserve"> s parameter port order [ tx+ tx- rx+ rx-]</t>
  </si>
  <si>
    <t>param.delta_IL</t>
  </si>
  <si>
    <t>delta_IL</t>
  </si>
  <si>
    <t xml:space="preserve"> experiemnal</t>
  </si>
  <si>
    <t xml:space="preserve">param.f_v </t>
  </si>
  <si>
    <t xml:space="preserve"> For FOM_ILD: Transiton rate cut off frequency for ICN/ILD calc in terms of fb</t>
  </si>
  <si>
    <t xml:space="preserve">param.f_f </t>
  </si>
  <si>
    <t xml:space="preserve"> For ICN: Fext transiton rate cut off frequency for ICN calc in terms of fb</t>
  </si>
  <si>
    <t xml:space="preserve">param.f_n </t>
  </si>
  <si>
    <t xml:space="preserve"> For ICN: Next transiton rate cut off frequency for ICN calc in terms of fb</t>
  </si>
  <si>
    <t xml:space="preserve">param.f_r </t>
  </si>
  <si>
    <t xml:space="preserve"> reference receive filter in COM and in ICN/FOM_ILD calcs in terms of fb</t>
  </si>
  <si>
    <t>param.fb_BT_cutoff</t>
  </si>
  <si>
    <t>TDR_f_BT_3db</t>
  </si>
  <si>
    <t xml:space="preserve"> Bessel-Thomson 3 dB cut off freqeuncy in terms of fb</t>
  </si>
  <si>
    <t xml:space="preserve">param.BTorder </t>
  </si>
  <si>
    <t>BTorder</t>
  </si>
  <si>
    <t xml:space="preserve"> Bessel function order</t>
  </si>
  <si>
    <t xml:space="preserve">param.RC_Start </t>
  </si>
  <si>
    <t>RC_Start</t>
  </si>
  <si>
    <t xml:space="preserve"> start frequency for raised cosine filter</t>
  </si>
  <si>
    <t xml:space="preserve">param.RC_end </t>
  </si>
  <si>
    <t>RC_end</t>
  </si>
  <si>
    <t xml:space="preserve"> end frequency for raised cosine filter</t>
  </si>
  <si>
    <t>param.beta_x</t>
  </si>
  <si>
    <t xml:space="preserve">  (for ERL) use default</t>
  </si>
  <si>
    <t>PKG_Module</t>
  </si>
  <si>
    <t>param.rho_x</t>
  </si>
  <si>
    <t xml:space="preserve"> (for ERL) use default</t>
  </si>
  <si>
    <t>param.tfx</t>
  </si>
  <si>
    <t xml:space="preserve"> fixture delay time (for ERL)</t>
  </si>
  <si>
    <t>param.Grr_limit</t>
  </si>
  <si>
    <t>Grr_limit</t>
  </si>
  <si>
    <t xml:space="preserve"> either do no use or set to 1 (for ERL)</t>
  </si>
  <si>
    <t>param.Grr</t>
  </si>
  <si>
    <t>Grr</t>
  </si>
  <si>
    <t>param.Gx</t>
  </si>
  <si>
    <t>Gx</t>
  </si>
  <si>
    <t xml:space="preserve"> ERL parameter param.Grr, This is used is the COM code</t>
  </si>
  <si>
    <t>param.LOCAL_SEARCH</t>
  </si>
  <si>
    <t xml:space="preserve"> Decreases COM compute time. Aetting to 2 seems ok ,if 0 search is full grid</t>
  </si>
  <si>
    <t>param.Tukey_Window</t>
  </si>
  <si>
    <t xml:space="preserve"> required for ERL. Set to 1. Default is 0.</t>
  </si>
  <si>
    <t>param.Noise_Crest_Factor</t>
  </si>
  <si>
    <t>Noise_Crest_Factor</t>
  </si>
  <si>
    <t xml:space="preserve"> Normally not used. If set this is q factor used for quantized Gaussian PDFs</t>
  </si>
  <si>
    <t xml:space="preserve">param.AC_CM_RMS </t>
  </si>
  <si>
    <t>AC_CM_RMS</t>
  </si>
  <si>
    <t xml:space="preserve"> AC_CM_RMS is the CM BBN AWGN RMS at COM source point. Default is 0. Adds common mode noise source to the COM signal path for the through channel</t>
  </si>
  <si>
    <t>param.ACCM_MAX_Freq</t>
  </si>
  <si>
    <t>ACCM_MAX_Freq</t>
  </si>
  <si>
    <t xml:space="preserve"> F max for integrating ACCM voltage in Hz. Default is fb</t>
  </si>
  <si>
    <t xml:space="preserve">param.T_O </t>
  </si>
  <si>
    <t>T_O</t>
  </si>
  <si>
    <t xml:space="preserve"> Units are mUI. Histogram for VEC and VEO are computed over T_s +/- T_O.  </t>
  </si>
  <si>
    <t>T_h</t>
  </si>
  <si>
    <t xml:space="preserve"> superceded with T_O but is the internal values that is used. Do not use.</t>
  </si>
  <si>
    <t xml:space="preserve">param.samples_for_C2M </t>
  </si>
  <si>
    <t>samples_for_C2M</t>
  </si>
  <si>
    <t xml:space="preserve"> Finer sampling in terms of samples per UI for c2m histgram analysis.</t>
  </si>
  <si>
    <t>[ 50 50 ]</t>
  </si>
  <si>
    <t>OP.Histogram_Window_Weight</t>
  </si>
  <si>
    <t>Histogram_Window_Weight</t>
  </si>
  <si>
    <t>rectangle</t>
  </si>
  <si>
    <t>Weighting for VEC and VEO are histogram processing. Type are Gaussian,Dual Rayleigh,Triangle, and Rectangle (default)</t>
  </si>
  <si>
    <t>param.sigma_r</t>
  </si>
  <si>
    <t>sigma_r</t>
  </si>
  <si>
    <t xml:space="preserve"> sigma_r for 0.3ck Gaussian histogram window. Unit are UI. Preferred usage.</t>
  </si>
  <si>
    <t>[8 8 8 8   ;  0 0 0 0  ; 0 0 0 0  ; 0 0 0 0  ]</t>
  </si>
  <si>
    <t>param.Qr</t>
  </si>
  <si>
    <t>Qr</t>
  </si>
  <si>
    <t xml:space="preserve"> sigma_r replaces Qr gasussian histogram window. Unit are UI</t>
  </si>
  <si>
    <t>param.QL</t>
  </si>
  <si>
    <t>QL</t>
  </si>
  <si>
    <t xml:space="preserve"> superceded with sigma_r but is the internal values that is used</t>
  </si>
  <si>
    <t>param.skew_ps</t>
  </si>
  <si>
    <t>skew_ps</t>
  </si>
  <si>
    <t xml:space="preserve"> experiment p/n skew. Not used.</t>
  </si>
  <si>
    <t>param.imb_Z_fctr</t>
  </si>
  <si>
    <t>imb_Z_fctr</t>
  </si>
  <si>
    <t xml:space="preserve"> exprimental p/n impedance missmatch.  Not used.</t>
  </si>
  <si>
    <t>param.imb_C_fctr</t>
  </si>
  <si>
    <t>imb_C_fctr</t>
  </si>
  <si>
    <t xml:space="preserve"> exprimental p/n capacitance missmatch.  Not used.</t>
  </si>
  <si>
    <t>param.flip</t>
  </si>
  <si>
    <t>flip</t>
  </si>
  <si>
    <t xml:space="preserve"> exprimental p/n missmatch flip.  Not used.</t>
  </si>
  <si>
    <t>param.f_hp</t>
  </si>
  <si>
    <t>f_hp</t>
  </si>
  <si>
    <t xml:space="preserve"> for rx testing for eq 162-12 if 0 (default) then rx test using rx bbn </t>
  </si>
  <si>
    <t>param.Txpskew</t>
  </si>
  <si>
    <t>Txpskew</t>
  </si>
  <si>
    <t xml:space="preserve"> Tx p skew in ps</t>
  </si>
  <si>
    <t>param.Txnskew</t>
  </si>
  <si>
    <t>Txnskew</t>
  </si>
  <si>
    <t xml:space="preserve"> Tx n skew in ps</t>
  </si>
  <si>
    <t>param.Rxpskew</t>
  </si>
  <si>
    <t>Rxpskew</t>
  </si>
  <si>
    <t xml:space="preserve"> Rx p skew in ps</t>
  </si>
  <si>
    <t>param.Rxnskew</t>
  </si>
  <si>
    <t>Rxnskew</t>
  </si>
  <si>
    <t xml:space="preserve"> Rx n skew in ps</t>
  </si>
  <si>
    <t xml:space="preserve">OP.include_pcb </t>
  </si>
  <si>
    <t xml:space="preserve"> Used to add a PCB one each side of the passed s-parameters.</t>
  </si>
  <si>
    <t xml:space="preserve">OP.exit_if_deployed </t>
  </si>
  <si>
    <t>exit if deployed</t>
  </si>
  <si>
    <t xml:space="preserve"> may need set when COM is an exe</t>
  </si>
  <si>
    <t xml:space="preserve">OP.INCLUDE_CTLE </t>
  </si>
  <si>
    <t>INCLUDE_CTLE</t>
  </si>
  <si>
    <t xml:space="preserve"> do not use </t>
  </si>
  <si>
    <t>OP.EXE_MODE</t>
  </si>
  <si>
    <t>EXE_MODE</t>
  </si>
  <si>
    <t xml:space="preserve"> 12/21 0:legacy 1:fast 2:superfast default is 1.</t>
  </si>
  <si>
    <t xml:space="preserve">OP.INCLUDE_FILTER </t>
  </si>
  <si>
    <t>INCLUDE_TX_RX_FILTER</t>
  </si>
  <si>
    <t xml:space="preserve"> do not use</t>
  </si>
  <si>
    <t xml:space="preserve">OP.force_pdf_bin_size </t>
  </si>
  <si>
    <t>Force PDF bin size</t>
  </si>
  <si>
    <t xml:space="preserve">OP.BinSize </t>
  </si>
  <si>
    <t>PDF bin size</t>
  </si>
  <si>
    <t xml:space="preserve"> set lower for faster computation time but less accuracy. </t>
  </si>
  <si>
    <t xml:space="preserve">OP.DEBUG </t>
  </si>
  <si>
    <t xml:space="preserve"> supresss some interim compuation value printouts</t>
  </si>
  <si>
    <t xml:space="preserve">OP.DISPLAY_WINDOW </t>
  </si>
  <si>
    <t xml:space="preserve"> controls if graph plots are displayed. Typically goes along with DIAGNOSTICS</t>
  </si>
  <si>
    <t xml:space="preserve">OP.CSV_REPORT </t>
  </si>
  <si>
    <t xml:space="preserve"> saves all the output parameters to a CSV file in the results directory, If DIAGNOSTICS is set then a mat file is also created</t>
  </si>
  <si>
    <t>OP.SAVE_TD</t>
  </si>
  <si>
    <t>SAVE_TD</t>
  </si>
  <si>
    <t xml:space="preserve"> Save the time domian waveforms. FIR, PR etc. in an output structure</t>
  </si>
  <si>
    <t>OP.SAVE_FIGURES</t>
  </si>
  <si>
    <t xml:space="preserve"> save displayed figures in the results directory</t>
  </si>
  <si>
    <t>OP.SAVE_FIGURE_to_CSV</t>
  </si>
  <si>
    <t>SAVE_FIGURE_to_CSV</t>
  </si>
  <si>
    <t xml:space="preserve"> does not work. do not use.</t>
  </si>
  <si>
    <t xml:space="preserve">OP.GET_FD </t>
  </si>
  <si>
    <t>Display frequency domain</t>
  </si>
  <si>
    <t xml:space="preserve"> Not normally set in the config file. It is normally just set to true to get FD plots</t>
  </si>
  <si>
    <t xml:space="preserve">OP.INC_PACKAGE </t>
  </si>
  <si>
    <t>INC_PACKAGE</t>
  </si>
  <si>
    <t xml:space="preserve"> warning: INC_PACKAGE=0 not fully supported, instead, set Zp,Cd, and Cp parameters to zero and Zp select to 1</t>
  </si>
  <si>
    <t xml:space="preserve">OP.EW </t>
  </si>
  <si>
    <t xml:space="preserve"> RIM 3-18-2021 change defaults</t>
  </si>
  <si>
    <t xml:space="preserve">OP.IDEAL_TX_TERM </t>
  </si>
  <si>
    <t>IDEAL_TX_TERM</t>
  </si>
  <si>
    <t xml:space="preserve">OP.IDEAL_RX_TERM </t>
  </si>
  <si>
    <t>IDEAL_RX_TERM</t>
  </si>
  <si>
    <t xml:space="preserve">OP.TDMODE </t>
  </si>
  <si>
    <t>TDMODE</t>
  </si>
  <si>
    <t xml:space="preserve"> Enables the the use of pulse response instead of s-parameters. Assumes no packages or the packages are included in the PR. Default is 0.</t>
  </si>
  <si>
    <t xml:space="preserve">OP.FT_COOP </t>
  </si>
  <si>
    <t>FT_COOP</t>
  </si>
  <si>
    <t xml:space="preserve"> obsolete do not use.</t>
  </si>
  <si>
    <t xml:space="preserve">OP.RESULT_DIR </t>
  </si>
  <si>
    <t>.\results\CACR_set1_{date}\</t>
  </si>
  <si>
    <t xml:space="preserve"> directory where results like csv, mat, and/or figure files will be written</t>
  </si>
  <si>
    <t xml:space="preserve">OP.BREAD_CRUMBS </t>
  </si>
  <si>
    <t>BREAD_CRUMBS</t>
  </si>
  <si>
    <t xml:space="preserve"> if DIAGNOSTICS is set then param, OP, and chdata are include in the output for each run</t>
  </si>
  <si>
    <t>PKG_Null</t>
  </si>
  <si>
    <t xml:space="preserve">OP.BREAD_CRUMBS_FIELDS </t>
  </si>
  <si>
    <t>BREAD_CRUMBS_FIELDS</t>
  </si>
  <si>
    <t xml:space="preserve"> if BREAD_CRUMBs is enabled, this file controls what chdata fields are included</t>
  </si>
  <si>
    <t xml:space="preserve">OP.COM_CONTRIBUTION_CURVES </t>
  </si>
  <si>
    <t xml:space="preserve"> Default is 0. If set to 1 then a bar graph of COM contributors is produce instead of bathtub curves</t>
  </si>
  <si>
    <t xml:space="preserve">OP.ENFORCE_CAUSALITY </t>
  </si>
  <si>
    <t>Enforce Causality</t>
  </si>
  <si>
    <t xml:space="preserve"> default is 0. Not recommended</t>
  </si>
  <si>
    <t xml:space="preserve">OP.EC_REL_TOL </t>
  </si>
  <si>
    <t>Enforce Causality REL_TOL</t>
  </si>
  <si>
    <t xml:space="preserve"> Relative Tolerance parameter for causality, Hard enforcement, 1e-3, Soft enforcement,  1e-2</t>
  </si>
  <si>
    <t xml:space="preserve">OP.EC_DIFF_TOL </t>
  </si>
  <si>
    <t>Enforce Causality DIFF_TOL</t>
  </si>
  <si>
    <t xml:space="preserve"> Difference Tolerance parameter for causality, Hard enforcement, 1e-4,Soft enforcement, 1e-3</t>
  </si>
  <si>
    <t>[5e-4  0.001  0.03]</t>
  </si>
  <si>
    <t xml:space="preserve">OP.EC_PULSE_TOL </t>
  </si>
  <si>
    <t>Enforce Causality pulse start tolerance</t>
  </si>
  <si>
    <t xml:space="preserve"> Tolerance parameter for causality, Hard enforcement, 0.05, Soft enforcement, .01</t>
  </si>
  <si>
    <t xml:space="preserve">OP.pkg_len_select </t>
  </si>
  <si>
    <t xml:space="preserve"> List of package length indexes used to run COM</t>
  </si>
  <si>
    <t xml:space="preserve">OP.RX_CALIBRATION </t>
  </si>
  <si>
    <t xml:space="preserve"> Turn on RX_Calibration loop</t>
  </si>
  <si>
    <t xml:space="preserve">OP.sigma_bn_STEP </t>
  </si>
  <si>
    <t xml:space="preserve"> BBN step for Rx Calibration in volts. Defaults is 0.5e-3</t>
  </si>
  <si>
    <t xml:space="preserve">OP.BBN_Q_factor </t>
  </si>
  <si>
    <t>BBN Q factor</t>
  </si>
  <si>
    <t>[92 92 ; 70 70; 80 80; 100 100]</t>
  </si>
  <si>
    <t xml:space="preserve"> Overrides NEXT/FEXT noise Qfactor for  'Force BBN Q factor' used for reporting. does not affect COM.</t>
  </si>
  <si>
    <t xml:space="preserve">OP.force_BBN_Q_factor </t>
  </si>
  <si>
    <t>Force BBN Q factor</t>
  </si>
  <si>
    <t xml:space="preserve"> Used for reporting and bathtub curves. does not affect COM.</t>
  </si>
  <si>
    <t xml:space="preserve">OP.transmitter_transition_time </t>
  </si>
  <si>
    <t xml:space="preserve"> 20% to 80% transition time used for the Gaussian shaped source</t>
  </si>
  <si>
    <t>OP.RL_norm_test</t>
  </si>
  <si>
    <t>ERL_FOM</t>
  </si>
  <si>
    <t xml:space="preserve"> Defaults to 1 indicating variance is used for FOM determination.  Do not change.</t>
  </si>
  <si>
    <t xml:space="preserve">OP.T_r_meas_point </t>
  </si>
  <si>
    <t>T_r_meas_point</t>
  </si>
  <si>
    <t xml:space="preserve"> included for earlier version support. Not recommended to use.</t>
  </si>
  <si>
    <t>OP.T_r_filter_type</t>
  </si>
  <si>
    <t>T_r_filter_type</t>
  </si>
  <si>
    <t>[ 0 0 0 0 ;0  0  0 0 ;  0  0 0 0  ; 0  0 0 0    ]</t>
  </si>
  <si>
    <t xml:space="preserve">OP.FORCE_TR </t>
  </si>
  <si>
    <t xml:space="preserve"> Included for earlier version support but should be set to 1 in most later config sheets.</t>
  </si>
  <si>
    <t xml:space="preserve">OP.TDR </t>
  </si>
  <si>
    <t xml:space="preserve"> Set to 1 to produce TDR results</t>
  </si>
  <si>
    <t>OP.TDR_duration</t>
  </si>
  <si>
    <t>TDR_duration</t>
  </si>
  <si>
    <t xml:space="preserve"> only used if N*UI is longer than the TDR duration time.  Default is 5 times the raw s-parameter transit time.</t>
  </si>
  <si>
    <t xml:space="preserve">OP.N </t>
  </si>
  <si>
    <t xml:space="preserve"> duration time in UI which is used for ERL (PTDR)</t>
  </si>
  <si>
    <t xml:space="preserve">OP.WC_PORTZ </t>
  </si>
  <si>
    <t>WC_PORTZ</t>
  </si>
  <si>
    <t xml:space="preserve"> Do not use: Obsolete. </t>
  </si>
  <si>
    <t>OP.T_k</t>
  </si>
  <si>
    <t>T_k</t>
  </si>
  <si>
    <t xml:space="preserve"> Time span (ns) for which the impedance of port is determined using TDR.</t>
  </si>
  <si>
    <t xml:space="preserve">OP.ERL_ONLY </t>
  </si>
  <si>
    <t xml:space="preserve"> Compute ERL only</t>
  </si>
  <si>
    <t>OP.ERL</t>
  </si>
  <si>
    <t xml:space="preserve"> Enables ERL. Needs TDR to be set as well.</t>
  </si>
  <si>
    <t>OP.SHOW_BRD</t>
  </si>
  <si>
    <t>[0 0 ]</t>
  </si>
  <si>
    <t>SHOW_BRD</t>
  </si>
  <si>
    <t xml:space="preserve"> indclude added board (PCB) in TDR and ERL. Default is 0.</t>
  </si>
  <si>
    <t xml:space="preserve">OP.TDR_W_TXPKG </t>
  </si>
  <si>
    <t xml:space="preserve"> adds tx package for TDR, PTDR, and ERL. Default is 0.</t>
  </si>
  <si>
    <t>OP.Bessel_Thomson</t>
  </si>
  <si>
    <t>Bessel_Thomson</t>
  </si>
  <si>
    <t xml:space="preserve"> enable Bessel Thomsen filter for COM</t>
  </si>
  <si>
    <t>OP.TDR_Butterworth</t>
  </si>
  <si>
    <t xml:space="preserve"> enable Butterworth filter for TDR, PTDR, and ERL</t>
  </si>
  <si>
    <t>OP.Butterworth</t>
  </si>
  <si>
    <t>Butterworth</t>
  </si>
  <si>
    <t xml:space="preserve"> Enable Butterworth Rx filter for COM compuatetopm</t>
  </si>
  <si>
    <t>OP.Raised_Cosine</t>
  </si>
  <si>
    <t>Raised_Cosine</t>
  </si>
  <si>
    <t xml:space="preserve"> Not used if 0. Default is zero. Should set BT and BW to false</t>
  </si>
  <si>
    <t>OP.inc_reflect_board</t>
  </si>
  <si>
    <t>inc_reflect_board</t>
  </si>
  <si>
    <t xml:space="preserve"> Not used if 0. Default is zero.</t>
  </si>
  <si>
    <t>OP.AUTO_TFX</t>
  </si>
  <si>
    <t>AUTO_TFX</t>
  </si>
  <si>
    <t xml:space="preserve"> Mostly used for device ERL. If sent to 1 the fixture tfx will be estimated.</t>
  </si>
  <si>
    <t xml:space="preserve">OP.LIMIT_JITTER_CONTRIB_TO_DFE_SPAN </t>
  </si>
  <si>
    <t>LIMIT_JITTER_CONTRIB_TO_DFE_SPAN</t>
  </si>
  <si>
    <t xml:space="preserve"> Experimental. Default is 0.</t>
  </si>
  <si>
    <t xml:space="preserve">OP.impulse_response_truncation_threshold </t>
  </si>
  <si>
    <t>Impulse response truncation threshold</t>
  </si>
  <si>
    <t xml:space="preserve"> zero padding threshold in fraction of IR peak for the impulse response. Effectively controls the length of time for the PR. Larger values decrease run time and accuracy. Default is 1e-3.</t>
  </si>
  <si>
    <t xml:space="preserve">OP.interp_sparam_mag </t>
  </si>
  <si>
    <t>S-parameter magnitude extrapolation policy</t>
  </si>
  <si>
    <t>linear_trend_to_DC</t>
  </si>
  <si>
    <t xml:space="preserve"> magnitued extrapolation method</t>
  </si>
  <si>
    <t xml:space="preserve">OP.interp_sparam_phase </t>
  </si>
  <si>
    <t>S-parameter phase extrapolation policy</t>
  </si>
  <si>
    <t>extrap_cubic_to_dc_linear_to_inf</t>
  </si>
  <si>
    <t xml:space="preserve"> phase extrapolation method</t>
  </si>
  <si>
    <t>OP.PMD_type</t>
  </si>
  <si>
    <t xml:space="preserve">  Either C2C or C2M. C2M is for computing VEC and VEO</t>
  </si>
  <si>
    <t>OP.PHY</t>
  </si>
  <si>
    <t>PHY</t>
  </si>
  <si>
    <t xml:space="preserve"> The keyword OP.PMD_type is now used</t>
  </si>
  <si>
    <t>OP.TDECQ</t>
  </si>
  <si>
    <t>TDECQ</t>
  </si>
  <si>
    <t xml:space="preserve"> Experimental, for only option is none (0) or vma. Default is 0.</t>
  </si>
  <si>
    <t xml:space="preserve">OP.RUNTAG </t>
  </si>
  <si>
    <t xml:space="preserve"> This string is appended to the begining of results files </t>
  </si>
  <si>
    <t>OP.CDR</t>
  </si>
  <si>
    <t>CDR</t>
  </si>
  <si>
    <t>MM</t>
  </si>
  <si>
    <t xml:space="preserve"> 12/21 from Yuchun Lu to accomdate 'Mod-MM', Defautt is 'MM'</t>
  </si>
  <si>
    <t xml:space="preserve">OP.Optimize_loop_speed_up </t>
  </si>
  <si>
    <t>Optimize_loop_speed_up</t>
  </si>
  <si>
    <t xml:space="preserve"> If set to 0 (or default) normal looping, If set to 1 loop speedup by slightly reducing PD Fbin and FIR_threshold for optimize looping only  </t>
  </si>
  <si>
    <t xml:space="preserve">OP.use_simple_EP_model </t>
  </si>
  <si>
    <t>Use simple error propagation model</t>
  </si>
  <si>
    <t xml:space="preserve"> Use to calculate burst error rate (not normally used</t>
  </si>
  <si>
    <t xml:space="preserve">OP.nburst </t>
  </si>
  <si>
    <t>Max burst length calculated</t>
  </si>
  <si>
    <t xml:space="preserve"> Use to calculate burst error rate (not normally used)</t>
  </si>
  <si>
    <t xml:space="preserve">OP.COM_EP_margin </t>
  </si>
  <si>
    <t>Error propagation COM margin</t>
  </si>
  <si>
    <t xml:space="preserve"> Use to calculate  error propogation (not normally used)</t>
  </si>
  <si>
    <t xml:space="preserve">OP.USE_ETA0_PSD </t>
  </si>
  <si>
    <t>USE_ETA0_PSD</t>
  </si>
  <si>
    <t xml:space="preserve"> Used eta_0 PSD equaiton for sigma_n. Default is 0. Do not use.</t>
  </si>
  <si>
    <t xml:space="preserve">OP.SAVE_CONFIG2MAT </t>
  </si>
  <si>
    <t xml:space="preserve"> If set to 1 (default) saves parameters in mat file. Requires DIAGNOSTICS to be set.</t>
  </si>
  <si>
    <t xml:space="preserve">OP.PLOT_CM </t>
  </si>
  <si>
    <t>PLOT_CM</t>
  </si>
  <si>
    <t xml:space="preserve"> Display CM plots if set to 1. Default is 0.</t>
  </si>
  <si>
    <t>OP.fraction_of_F_range_start_extrap_from</t>
  </si>
  <si>
    <t>fraction_of_F_range_start_extrap_from</t>
  </si>
  <si>
    <t xml:space="preserve"> Frequency (fb) where high frequency extropolation begins for computing IR. Helps control Gibbs phenomena. defualt is 0.75.</t>
  </si>
  <si>
    <t xml:space="preserve">OP.COMPUTE_RILN </t>
  </si>
  <si>
    <t>COMPUTE_RILN</t>
  </si>
  <si>
    <t xml:space="preserve"> Computes RILN default is 0.  FOM_RILN reported</t>
  </si>
  <si>
    <t xml:space="preserve">OP.COMPUTE_TDILN </t>
  </si>
  <si>
    <t>COMPUTE_TDILN</t>
  </si>
  <si>
    <t xml:space="preserve">  computes TD ILN from complex freq IL fit. FOM_TDILN reported.</t>
  </si>
  <si>
    <t xml:space="preserve">OP.SAVE_KEYWORD_FILE </t>
  </si>
  <si>
    <t>SAVE_KEYWORD_FILE</t>
  </si>
  <si>
    <t xml:space="preserve"> Save csv file of COM parameter (OP) and keywords. Not implemented. </t>
  </si>
  <si>
    <t xml:space="preserve">OP.SNR_TXwC0 </t>
  </si>
  <si>
    <t>SNR_TXwC0</t>
  </si>
  <si>
    <t xml:space="preserve"> Adjust SNR_TX with C0</t>
  </si>
  <si>
    <t xml:space="preserve">OP.MLSE </t>
  </si>
  <si>
    <t xml:space="preserve"> MLSE keyword</t>
  </si>
  <si>
    <t xml:space="preserve">OP.RXFFE_FLOAT_CTL </t>
  </si>
  <si>
    <t>RXFFE FLOAT CTL</t>
  </si>
  <si>
    <t>Taps</t>
  </si>
  <si>
    <t xml:space="preserve"> select taps (taps) or pulse response (ISI) for floating taps</t>
  </si>
  <si>
    <t xml:space="preserve">OP.RXFFE_TAP_CONSTRAINT </t>
  </si>
  <si>
    <t>RXFFE TAP CONSTRAINT</t>
  </si>
  <si>
    <t>Unity Cursor</t>
  </si>
  <si>
    <t xml:space="preserve"> "Unity sum taps", "Unity Cursor", of unbounded </t>
  </si>
  <si>
    <t xml:space="preserve">OP.TIME_AXIS </t>
  </si>
  <si>
    <t>TIME_AXIS</t>
  </si>
  <si>
    <t xml:space="preserve"> if0 OP.display set pulse response xaxis to seconds or UI</t>
  </si>
  <si>
    <t>OP.Do_XT_Noise</t>
  </si>
  <si>
    <t>Do_XT_Noise</t>
  </si>
  <si>
    <t>OP.FFE_SNR</t>
  </si>
  <si>
    <t>FFE_SNR</t>
  </si>
  <si>
    <t>OP.Do_Colored_Noise</t>
  </si>
  <si>
    <t>Do_Colored_Noise</t>
  </si>
  <si>
    <t>OP.Do_White_Noise</t>
  </si>
  <si>
    <t>Do_White_Noise</t>
  </si>
  <si>
    <t>OP.FFE_OPT_METHOD</t>
  </si>
  <si>
    <t>FFE_OPT_METHOD</t>
  </si>
  <si>
    <t>FV-LMS</t>
  </si>
  <si>
    <t xml:space="preserve"> 'MMSE','FV-LMS', 'WIENER-HOPF',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</si>
</sst>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0"/>
    <numFmt numFmtId="165" formatCode="0.000"/>
    <numFmt numFmtId="166" formatCode="0.000E+00"/>
  </numFmts>
  <fonts count="11">
    <font>
      <sz val="11.0"/>
      <color theme="1"/>
      <name val="Calibri"/>
      <scheme val="minor"/>
    </font>
    <font>
      <sz val="10.0"/>
      <color rgb="FF008013"/>
      <name val="Consolas"/>
    </font>
    <font>
      <sz val="11.0"/>
      <color theme="1"/>
      <name val="Calibri"/>
    </font>
    <font>
      <b/>
      <sz val="11.0"/>
      <color rgb="FF3F3F3F"/>
      <name val="Calibri"/>
    </font>
    <font/>
    <font>
      <b/>
      <sz val="11.0"/>
      <color rgb="FF000000"/>
      <name val="Calibri"/>
    </font>
    <font>
      <sz val="11.0"/>
      <color rgb="FF000000"/>
      <name val="Calibri"/>
    </font>
    <font>
      <i/>
      <sz val="11.0"/>
      <color rgb="FF000000"/>
      <name val="Calibri"/>
    </font>
    <font>
      <b/>
      <sz val="11.0"/>
      <color rgb="FF333333"/>
      <name val="Calibri"/>
    </font>
    <font>
      <sz val="11.0"/>
      <color rgb="FF333333"/>
      <name val="Calibri"/>
    </font>
    <font>
      <sz val="11.0"/>
      <color rgb="FF3F3F3F"/>
      <name val="Calibri"/>
    </font>
  </fonts>
  <fills count="10">
    <fill>
      <patternFill patternType="none"/>
    </fill>
    <fill>
      <patternFill patternType="lightGray"/>
    </fill>
    <fill>
      <patternFill patternType="solid">
        <fgColor rgb="FFF2F2F2"/>
        <bgColor rgb="FFF2F2F2"/>
      </patternFill>
    </fill>
    <fill>
      <patternFill patternType="solid">
        <fgColor rgb="FFFFFFFF"/>
        <bgColor rgb="FFFFFFFF"/>
      </patternFill>
    </fill>
    <fill>
      <patternFill patternType="solid">
        <fgColor rgb="FFFFFF00"/>
        <bgColor rgb="FFFFFF00"/>
      </patternFill>
    </fill>
    <fill>
      <patternFill patternType="solid">
        <fgColor rgb="FFFF3399"/>
        <bgColor rgb="FFFF3399"/>
      </patternFill>
    </fill>
    <fill>
      <patternFill patternType="solid">
        <fgColor rgb="FFFFD965"/>
        <bgColor rgb="FFFFD965"/>
      </patternFill>
    </fill>
    <fill>
      <patternFill patternType="solid">
        <fgColor theme="0"/>
        <bgColor theme="0"/>
      </patternFill>
    </fill>
    <fill>
      <patternFill patternType="solid">
        <fgColor rgb="FFFBE4D5"/>
        <bgColor rgb="FFFBE4D5"/>
      </patternFill>
    </fill>
    <fill>
      <patternFill patternType="solid">
        <fgColor rgb="FFFFE598"/>
        <bgColor rgb="FFFFE598"/>
      </patternFill>
    </fill>
  </fills>
  <borders count="13">
    <border/>
    <border>
      <left style="thin">
        <color rgb="FF000000"/>
      </left>
      <right style="thin">
        <color rgb="FF000000"/>
      </right>
      <top style="thin">
        <color rgb="FF000000"/>
      </top>
      <bottom style="thin">
        <color rgb="FF000000"/>
      </bottom>
    </border>
    <border>
      <left style="thin">
        <color rgb="FF3F3F3F"/>
      </left>
      <top style="thin">
        <color rgb="FF3F3F3F"/>
      </top>
      <bottom style="thin">
        <color rgb="FF3F3F3F"/>
      </bottom>
    </border>
    <border>
      <top style="thin">
        <color rgb="FF3F3F3F"/>
      </top>
      <bottom style="thin">
        <color rgb="FF3F3F3F"/>
      </bottom>
    </border>
    <border>
      <right style="thin">
        <color rgb="FF3F3F3F"/>
      </right>
      <top style="thin">
        <color rgb="FF3F3F3F"/>
      </top>
      <bottom style="thin">
        <color rgb="FF3F3F3F"/>
      </bottom>
    </border>
    <border>
      <left style="thin">
        <color rgb="FF3F3F3F"/>
      </left>
      <right style="thin">
        <color rgb="FF3F3F3F"/>
      </right>
      <top style="thin">
        <color rgb="FF3F3F3F"/>
      </top>
      <bottom style="thin">
        <color rgb="FF3F3F3F"/>
      </bottom>
    </border>
    <border>
      <left style="thin">
        <color rgb="FF000000"/>
      </left>
      <right style="thin">
        <color rgb="FF000000"/>
      </right>
      <bottom style="thin">
        <color rgb="FF000000"/>
      </bottom>
    </border>
    <border>
      <left style="thin">
        <color rgb="FF333333"/>
      </left>
      <top/>
      <bottom style="thin">
        <color rgb="FF333333"/>
      </bottom>
    </border>
    <border>
      <top/>
      <bottom style="thin">
        <color rgb="FF333333"/>
      </bottom>
    </border>
    <border>
      <right style="thin">
        <color rgb="FF333333"/>
      </right>
      <top/>
      <bottom style="thin">
        <color rgb="FF333333"/>
      </bottom>
    </border>
    <border>
      <left/>
      <right/>
      <top/>
      <bottom/>
    </border>
    <border>
      <left style="thin">
        <color rgb="FF3F3F3F"/>
      </left>
      <right style="thin">
        <color rgb="FF3F3F3F"/>
      </right>
      <top style="thin">
        <color rgb="FF3F3F3F"/>
      </top>
    </border>
    <border>
      <left style="thin">
        <color rgb="FF000000"/>
      </left>
      <right style="thin">
        <color rgb="FF000000"/>
      </right>
      <top style="thin">
        <color rgb="FF000000"/>
      </top>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horizontal="left" vertical="center"/>
    </xf>
    <xf borderId="1" fillId="0" fontId="2" numFmtId="0" xfId="0" applyBorder="1" applyFont="1"/>
    <xf borderId="0" fillId="0" fontId="2" numFmtId="0" xfId="0" applyFont="1"/>
    <xf borderId="2" fillId="2" fontId="3" numFmtId="0" xfId="0" applyAlignment="1" applyBorder="1" applyFill="1" applyFont="1">
      <alignment horizontal="center" vertical="center"/>
    </xf>
    <xf borderId="3" fillId="0" fontId="4" numFmtId="0" xfId="0" applyBorder="1" applyFont="1"/>
    <xf borderId="4" fillId="0" fontId="4" numFmtId="0" xfId="0" applyBorder="1" applyFont="1"/>
    <xf borderId="0" fillId="0" fontId="5" numFmtId="0" xfId="0" applyAlignment="1" applyFont="1">
      <alignment horizontal="center" vertical="center"/>
    </xf>
    <xf borderId="0" fillId="0" fontId="2" numFmtId="0" xfId="0" applyAlignment="1" applyFont="1">
      <alignment horizontal="center" vertical="center"/>
    </xf>
    <xf borderId="1" fillId="0" fontId="2" numFmtId="0" xfId="0" applyAlignment="1" applyBorder="1" applyFont="1">
      <alignment horizontal="center" vertical="center"/>
    </xf>
    <xf borderId="5" fillId="2" fontId="3" numFmtId="0" xfId="0" applyAlignment="1" applyBorder="1" applyFill="1" applyFont="1">
      <alignment horizontal="center" vertical="center"/>
    </xf>
    <xf borderId="1" fillId="0" fontId="5" numFmtId="0" xfId="0" applyAlignment="1" applyBorder="1" applyFont="1">
      <alignment horizontal="center" vertical="center"/>
    </xf>
    <xf borderId="6" fillId="0" fontId="2" numFmtId="0" xfId="0" applyAlignment="1" applyBorder="1" applyFont="1">
      <alignment horizontal="center" vertical="center"/>
    </xf>
    <xf borderId="1" fillId="3" fontId="2" numFmtId="0" xfId="0" applyAlignment="1" applyBorder="1" applyFill="1" applyFont="1">
      <alignment horizontal="center" vertical="center"/>
    </xf>
    <xf borderId="1" fillId="0" fontId="6" numFmtId="0" xfId="0" applyAlignment="1" applyBorder="1" applyFont="1">
      <alignment horizontal="center" vertical="center"/>
    </xf>
    <xf borderId="1" fillId="0" fontId="2" numFmtId="11" xfId="0" applyAlignment="1" applyBorder="1" applyFont="1" applyNumberFormat="1">
      <alignment horizontal="center" vertical="center"/>
    </xf>
    <xf borderId="1" fillId="0" fontId="6" numFmtId="11" xfId="0" applyAlignment="1" applyBorder="1" applyFont="1" applyNumberFormat="1">
      <alignment horizontal="center" vertical="center"/>
    </xf>
    <xf borderId="0" fillId="0" fontId="2" numFmtId="0" xfId="0" applyAlignment="1" applyFont="1">
      <alignment horizontal="left" vertical="center"/>
    </xf>
    <xf quotePrefix="1" borderId="1" fillId="0" fontId="2" numFmtId="0" xfId="0" applyAlignment="1" applyBorder="1" applyFont="1">
      <alignment horizontal="center" vertical="center"/>
    </xf>
    <xf borderId="1" fillId="0" fontId="2" numFmtId="164" xfId="0" applyAlignment="1" applyBorder="1" applyFont="1" applyNumberFormat="1">
      <alignment horizontal="center" vertical="center"/>
    </xf>
    <xf borderId="1" fillId="0" fontId="2" numFmtId="165" xfId="0" applyAlignment="1" applyBorder="1" applyFont="1" applyNumberFormat="1">
      <alignment horizontal="center" vertical="center"/>
    </xf>
    <xf borderId="1" fillId="3" fontId="6" numFmtId="0" xfId="0" applyAlignment="1" applyBorder="1" applyFill="1" applyFont="1">
      <alignment horizontal="center" vertical="center"/>
    </xf>
    <xf borderId="1" fillId="0" fontId="2" numFmtId="2" xfId="0" applyAlignment="1" applyBorder="1" applyFont="1" applyNumberFormat="1">
      <alignment horizontal="center" vertical="center"/>
    </xf>
    <xf borderId="1" fillId="0" fontId="2" numFmtId="0" xfId="0" applyAlignment="1" applyBorder="1" applyFont="1">
      <alignment horizontal="center"/>
    </xf>
    <xf borderId="1" fillId="4" fontId="2" numFmtId="0" xfId="0" applyAlignment="1" applyBorder="1" applyFill="1" applyFont="1">
      <alignment horizontal="center" vertical="center"/>
    </xf>
    <xf borderId="1" fillId="4" fontId="5" numFmtId="0" xfId="0" applyAlignment="1" applyBorder="1" applyFill="1" applyFont="1">
      <alignment horizontal="center" vertical="center"/>
    </xf>
    <xf borderId="7" fillId="2" fontId="3" numFmtId="0" xfId="0" applyAlignment="1" applyBorder="1" applyFill="1" applyFont="1">
      <alignment horizontal="center" vertical="center"/>
    </xf>
    <xf borderId="8" fillId="0" fontId="4" numFmtId="0" xfId="0" applyBorder="1" applyFont="1"/>
    <xf borderId="9" fillId="0" fontId="4" numFmtId="0" xfId="0" applyBorder="1" applyFont="1"/>
    <xf borderId="1" fillId="0" fontId="7" numFmtId="0" xfId="0" applyAlignment="1" applyBorder="1" applyFont="1">
      <alignment horizontal="center" vertical="center"/>
    </xf>
    <xf borderId="1" fillId="0" fontId="7" numFmtId="166" xfId="0" applyAlignment="1" applyBorder="1" applyFont="1" applyNumberFormat="1">
      <alignment horizontal="center" vertical="center"/>
    </xf>
    <xf borderId="10" fillId="4" fontId="2" numFmtId="0" xfId="0" applyAlignment="1" applyBorder="1" applyFill="1" applyFont="1">
      <alignment horizontal="center" vertical="center"/>
    </xf>
    <xf borderId="2" fillId="2" fontId="8" numFmtId="0" xfId="0" applyAlignment="1" applyBorder="1" applyFill="1" applyFont="1">
      <alignment horizontal="center" vertical="center"/>
    </xf>
    <xf borderId="5" fillId="0" fontId="9" numFmtId="0" xfId="0" applyAlignment="1" applyBorder="1" applyFont="1">
      <alignment horizontal="center" vertical="center"/>
    </xf>
    <xf borderId="5" fillId="0" fontId="10" numFmtId="0" xfId="0" applyAlignment="1" applyBorder="1" applyFont="1">
      <alignment horizontal="center" vertical="center"/>
    </xf>
    <xf borderId="1" fillId="0" fontId="6" numFmtId="0" xfId="0" applyAlignment="1" applyBorder="1" applyFont="1">
      <alignment horizontal="left" vertical="center"/>
    </xf>
    <xf borderId="0" fillId="0" fontId="2" numFmtId="11" xfId="0" applyAlignment="1" applyFont="1" applyNumberFormat="1">
      <alignment horizontal="center" vertical="center"/>
    </xf>
    <xf borderId="11" fillId="0" fontId="10" numFmtId="0" xfId="0" applyAlignment="1" applyBorder="1" applyFont="1">
      <alignment horizontal="center" vertical="center"/>
    </xf>
    <xf borderId="12" fillId="0" fontId="6" numFmtId="0" xfId="0" applyAlignment="1" applyBorder="1" applyFont="1">
      <alignment horizontal="center" vertical="center"/>
    </xf>
    <xf borderId="12" fillId="0" fontId="6" numFmtId="0" xfId="0" applyAlignment="1" applyBorder="1" applyFont="1">
      <alignment horizontal="left" vertical="center"/>
    </xf>
    <xf borderId="12" fillId="0" fontId="2" numFmtId="0" xfId="0" applyAlignment="1" applyBorder="1" applyFont="1">
      <alignment horizontal="left" vertical="center"/>
    </xf>
    <xf borderId="1" fillId="5" fontId="2" numFmtId="11" xfId="0" applyAlignment="1" applyBorder="1" applyFill="1" applyFont="1" applyNumberFormat="1">
      <alignment horizontal="center" vertical="center"/>
    </xf>
    <xf borderId="1" fillId="5" fontId="2" numFmtId="0" xfId="0" applyAlignment="1" applyBorder="1" applyFill="1" applyFont="1">
      <alignment horizontal="center" vertical="center"/>
    </xf>
    <xf borderId="12" fillId="0" fontId="2" numFmtId="0" xfId="0" applyAlignment="1" applyBorder="1" applyFont="1">
      <alignment horizontal="center" vertical="center"/>
    </xf>
    <xf borderId="1" fillId="0" fontId="2" numFmtId="0" xfId="0" applyAlignment="1" applyBorder="1" applyFont="1">
      <alignment horizontal="center" readingOrder="0" vertical="center"/>
    </xf>
    <xf borderId="0" fillId="0" fontId="2" numFmtId="11" xfId="0" applyFont="1" applyNumberFormat="1"/>
    <xf borderId="1" fillId="6" fontId="2" numFmtId="0" xfId="0" applyAlignment="1" applyBorder="1" applyFill="1" applyFont="1">
      <alignment horizontal="center" vertical="center"/>
    </xf>
    <xf borderId="1" fillId="6" fontId="2" numFmtId="0" xfId="0" applyAlignment="1" applyBorder="1" applyFill="1" applyFont="1">
      <alignment horizontal="left" vertical="center"/>
    </xf>
    <xf borderId="6" fillId="0" fontId="5" numFmtId="0" xfId="0" applyAlignment="1" applyBorder="1" applyFont="1">
      <alignment horizontal="center" vertical="center"/>
    </xf>
    <xf borderId="0" fillId="0" fontId="6" numFmtId="0" xfId="0" applyAlignment="1" applyFont="1">
      <alignment vertical="center"/>
    </xf>
    <xf borderId="1" fillId="7" fontId="2" numFmtId="0" xfId="0" applyAlignment="1" applyBorder="1" applyFill="1" applyFont="1">
      <alignment horizontal="center" vertical="center"/>
    </xf>
    <xf borderId="0" fillId="0" fontId="2" numFmtId="2" xfId="0" applyAlignment="1" applyFont="1" applyNumberFormat="1">
      <alignment horizontal="left" vertical="center"/>
    </xf>
    <xf borderId="1" fillId="8" fontId="2" numFmtId="0" xfId="0" applyAlignment="1" applyBorder="1" applyFill="1" applyFont="1">
      <alignment horizontal="center" vertical="center"/>
    </xf>
    <xf borderId="1" fillId="8" fontId="2" numFmtId="0" xfId="0" applyAlignment="1" applyBorder="1" applyFill="1" applyFont="1">
      <alignment horizontal="left" vertical="center"/>
    </xf>
    <xf borderId="1" fillId="9" fontId="2" numFmtId="0" xfId="0" applyAlignment="1" applyBorder="1" applyFill="1" applyFont="1">
      <alignment horizontal="center"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row>
    <row r="2">
      <c r="A2" s="1" t="s">
        <v>1</v>
      </c>
    </row>
    <row r="3">
      <c r="A3" s="1" t="s">
        <v>2</v>
      </c>
    </row>
    <row r="4">
      <c r="A4" s="1" t="s">
        <v>3</v>
      </c>
    </row>
    <row r="5">
      <c r="A5" s="1" t="s">
        <v>4</v>
      </c>
    </row>
    <row r="6">
      <c r="A6" s="1" t="s">
        <v>5</v>
      </c>
    </row>
    <row r="7">
      <c r="A7" s="1" t="s">
        <v>6</v>
      </c>
    </row>
    <row r="8">
      <c r="A8" s="1" t="s">
        <v>3</v>
      </c>
    </row>
    <row r="9">
      <c r="A9" s="1" t="s">
        <v>7</v>
      </c>
    </row>
    <row r="10">
      <c r="A10" s="1" t="s">
        <v>8</v>
      </c>
    </row>
    <row r="11">
      <c r="A11" s="1" t="s">
        <v>3</v>
      </c>
    </row>
    <row r="12">
      <c r="A12" s="1" t="s">
        <v>9</v>
      </c>
    </row>
    <row r="13">
      <c r="A13" s="1" t="s">
        <v>10</v>
      </c>
    </row>
    <row r="14">
      <c r="A14" s="1" t="s">
        <v>11</v>
      </c>
    </row>
    <row r="15">
      <c r="A15" s="1" t="s">
        <v>3</v>
      </c>
    </row>
    <row r="16">
      <c r="A16" s="1" t="s">
        <v>12</v>
      </c>
    </row>
    <row r="17">
      <c r="A17" s="1" t="s">
        <v>13</v>
      </c>
    </row>
    <row r="18">
      <c r="A18" s="1" t="s">
        <v>14</v>
      </c>
    </row>
    <row r="19">
      <c r="A19" s="1" t="s">
        <v>3</v>
      </c>
    </row>
    <row r="20">
      <c r="A20" s="1" t="s">
        <v>15</v>
      </c>
    </row>
    <row r="21" ht="15.75" customHeight="1">
      <c r="A21" s="1" t="s">
        <v>16</v>
      </c>
    </row>
    <row r="22" ht="15.75" customHeight="1">
      <c r="A22" s="1" t="s">
        <v>17</v>
      </c>
    </row>
    <row r="23" ht="15.75" customHeight="1">
      <c r="A23" s="1" t="s">
        <v>18</v>
      </c>
    </row>
    <row r="24" ht="15.75" customHeight="1">
      <c r="A24" s="1" t="s">
        <v>19</v>
      </c>
    </row>
    <row r="25" ht="15.75" customHeight="1">
      <c r="A25" s="1" t="s">
        <v>20</v>
      </c>
    </row>
    <row r="26" ht="15.75" customHeight="1">
      <c r="A26" s="1" t="s">
        <v>21</v>
      </c>
    </row>
    <row r="27" ht="15.75" customHeight="1">
      <c r="A27" s="1" t="s">
        <v>23</v>
      </c>
    </row>
    <row r="28" ht="15.75" customHeight="1">
      <c r="A28" s="1" t="s">
        <v>24</v>
      </c>
    </row>
    <row r="29" ht="15.75" customHeight="1">
      <c r="A29" s="1" t="s">
        <v>25</v>
      </c>
    </row>
    <row r="30" ht="15.75" customHeight="1">
      <c r="A30" s="1" t="s">
        <v>26</v>
      </c>
    </row>
    <row r="31" ht="15.75" customHeight="1">
      <c r="A31" s="1" t="s">
        <v>3</v>
      </c>
    </row>
    <row r="32" ht="15.75" customHeight="1">
      <c r="A32" s="1" t="s">
        <v>27</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14"/>
    <col customWidth="1" min="2" max="2" width="49.43"/>
    <col customWidth="1" min="3" max="3" width="10.71"/>
    <col customWidth="1" min="4" max="4" width="14.14"/>
    <col customWidth="1" min="5" max="5" width="4.43"/>
    <col customWidth="1" min="6" max="6" width="21.86"/>
    <col customWidth="1" min="7" max="7" width="22.29"/>
    <col customWidth="1" min="8" max="8" width="8.43"/>
    <col customWidth="1" min="9" max="9" width="1.86"/>
    <col customWidth="1" min="10" max="10" width="29.43"/>
    <col customWidth="1" min="11" max="11" width="21.14"/>
    <col customWidth="1" min="12" max="12" width="45.86"/>
    <col customWidth="1" min="13" max="13" width="64.29"/>
    <col customWidth="1" min="14" max="14" width="6.71"/>
    <col customWidth="1" min="15" max="15" width="24.0"/>
    <col customWidth="1" min="16" max="16" width="26.14"/>
    <col customWidth="1" min="17" max="17" width="19.43"/>
    <col customWidth="1" min="18" max="18" width="8.57"/>
    <col customWidth="1" min="19" max="19" width="22.71"/>
    <col customWidth="1" min="20" max="33" width="8.57"/>
  </cols>
  <sheetData>
    <row r="1">
      <c r="A1" s="4" t="s">
        <v>37</v>
      </c>
      <c r="B1" s="5"/>
      <c r="C1" s="5"/>
      <c r="D1" s="6"/>
      <c r="E1" s="7"/>
      <c r="F1" s="4" t="s">
        <v>41</v>
      </c>
      <c r="G1" s="5"/>
      <c r="H1" s="6"/>
      <c r="I1" s="8"/>
      <c r="J1" s="4" t="s">
        <v>46</v>
      </c>
      <c r="K1" s="5"/>
      <c r="L1" s="6"/>
      <c r="M1" s="9"/>
      <c r="N1" s="10"/>
      <c r="O1" s="9" t="s">
        <v>51</v>
      </c>
      <c r="P1" s="9">
        <v>0.0</v>
      </c>
      <c r="Q1" s="9"/>
      <c r="R1" s="8"/>
      <c r="S1" s="8"/>
      <c r="T1" s="8"/>
      <c r="U1" s="8"/>
      <c r="V1" s="8"/>
      <c r="W1" s="8"/>
      <c r="X1" s="8"/>
      <c r="Y1" s="8"/>
      <c r="Z1" s="8"/>
      <c r="AA1" s="8"/>
      <c r="AB1" s="8"/>
      <c r="AC1" s="8"/>
      <c r="AD1" s="8"/>
      <c r="AE1" s="8"/>
      <c r="AF1" s="8"/>
      <c r="AG1" s="8"/>
    </row>
    <row r="2">
      <c r="A2" s="11" t="s">
        <v>60</v>
      </c>
      <c r="B2" s="11" t="s">
        <v>63</v>
      </c>
      <c r="C2" s="11" t="s">
        <v>65</v>
      </c>
      <c r="D2" s="11" t="s">
        <v>66</v>
      </c>
      <c r="E2" s="8"/>
      <c r="F2" s="12" t="s">
        <v>67</v>
      </c>
      <c r="G2" s="12">
        <v>1.0</v>
      </c>
      <c r="H2" s="12" t="s">
        <v>72</v>
      </c>
      <c r="I2" s="8"/>
      <c r="J2" s="13" t="s">
        <v>73</v>
      </c>
      <c r="K2" s="9">
        <v>11.0</v>
      </c>
      <c r="L2" s="9" t="s">
        <v>78</v>
      </c>
      <c r="M2" s="9"/>
      <c r="N2" s="8"/>
      <c r="O2" s="4" t="s">
        <v>79</v>
      </c>
      <c r="P2" s="5"/>
      <c r="Q2" s="6"/>
      <c r="R2" s="8"/>
      <c r="S2" s="8"/>
      <c r="T2" s="8"/>
      <c r="U2" s="8"/>
      <c r="V2" s="8"/>
      <c r="W2" s="8"/>
      <c r="X2" s="8"/>
      <c r="Y2" s="8"/>
      <c r="Z2" s="8"/>
      <c r="AA2" s="8"/>
      <c r="AB2" s="8"/>
      <c r="AC2" s="8"/>
      <c r="AD2" s="8"/>
      <c r="AE2" s="8"/>
      <c r="AF2" s="8"/>
      <c r="AG2" s="8"/>
    </row>
    <row r="3">
      <c r="A3" s="9" t="s">
        <v>83</v>
      </c>
      <c r="B3" s="14">
        <v>106.25</v>
      </c>
      <c r="C3" s="9" t="s">
        <v>86</v>
      </c>
      <c r="D3" s="9"/>
      <c r="E3" s="8"/>
      <c r="F3" s="9" t="s">
        <v>88</v>
      </c>
      <c r="G3" s="9">
        <v>0.0</v>
      </c>
      <c r="H3" s="9" t="s">
        <v>72</v>
      </c>
      <c r="I3" s="8"/>
      <c r="J3" s="9" t="s">
        <v>89</v>
      </c>
      <c r="K3" s="9">
        <v>3.0</v>
      </c>
      <c r="L3" s="9" t="s">
        <v>90</v>
      </c>
      <c r="M3" s="9"/>
      <c r="N3" s="8"/>
      <c r="O3" s="14" t="s">
        <v>93</v>
      </c>
      <c r="P3" s="9">
        <v>0.0</v>
      </c>
      <c r="Q3" s="9" t="s">
        <v>72</v>
      </c>
      <c r="R3" s="8"/>
      <c r="S3" s="8"/>
      <c r="T3" s="8"/>
      <c r="U3" s="8"/>
      <c r="V3" s="8"/>
      <c r="W3" s="8"/>
      <c r="X3" s="8"/>
      <c r="Y3" s="8"/>
      <c r="Z3" s="8"/>
      <c r="AA3" s="8"/>
      <c r="AB3" s="8"/>
      <c r="AC3" s="8"/>
      <c r="AD3" s="8"/>
      <c r="AE3" s="8"/>
      <c r="AF3" s="8"/>
      <c r="AG3" s="8"/>
    </row>
    <row r="4">
      <c r="A4" s="9" t="s">
        <v>95</v>
      </c>
      <c r="B4" s="9">
        <v>0.05</v>
      </c>
      <c r="C4" s="9" t="s">
        <v>97</v>
      </c>
      <c r="D4" s="9"/>
      <c r="E4" s="8"/>
      <c r="F4" s="12" t="s">
        <v>100</v>
      </c>
      <c r="G4" s="12">
        <v>1.0</v>
      </c>
      <c r="H4" s="12" t="s">
        <v>72</v>
      </c>
      <c r="I4" s="8"/>
      <c r="J4" s="9" t="s">
        <v>102</v>
      </c>
      <c r="K4" s="15">
        <v>2.0E-4</v>
      </c>
      <c r="L4" s="9"/>
      <c r="M4" s="9"/>
      <c r="N4" s="8"/>
      <c r="O4" s="14" t="s">
        <v>105</v>
      </c>
      <c r="P4" s="16">
        <v>0.005</v>
      </c>
      <c r="Q4" s="9" t="s">
        <v>107</v>
      </c>
      <c r="R4" s="8"/>
      <c r="S4" s="8"/>
      <c r="T4" s="8"/>
      <c r="U4" s="8"/>
      <c r="V4" s="8"/>
      <c r="W4" s="8"/>
      <c r="X4" s="8"/>
      <c r="Y4" s="8"/>
      <c r="Z4" s="8"/>
      <c r="AA4" s="8"/>
      <c r="AB4" s="8"/>
      <c r="AC4" s="8"/>
      <c r="AD4" s="8"/>
      <c r="AE4" s="8"/>
      <c r="AF4" s="17"/>
      <c r="AG4" s="8"/>
    </row>
    <row r="5">
      <c r="A5" s="9" t="s">
        <v>111</v>
      </c>
      <c r="B5" s="9">
        <v>0.01</v>
      </c>
      <c r="C5" s="9" t="s">
        <v>97</v>
      </c>
      <c r="D5" s="9"/>
      <c r="E5" s="8"/>
      <c r="F5" s="9" t="s">
        <v>112</v>
      </c>
      <c r="G5" s="18" t="s">
        <v>113</v>
      </c>
      <c r="H5" s="9"/>
      <c r="I5" s="8"/>
      <c r="J5" s="9" t="s">
        <v>114</v>
      </c>
      <c r="K5" s="19">
        <v>0.004</v>
      </c>
      <c r="L5" s="9" t="s">
        <v>115</v>
      </c>
      <c r="M5" s="9"/>
      <c r="N5" s="8"/>
      <c r="O5" s="4" t="s">
        <v>116</v>
      </c>
      <c r="P5" s="5"/>
      <c r="Q5" s="6"/>
      <c r="R5" s="8"/>
      <c r="S5" s="8"/>
      <c r="T5" s="8"/>
      <c r="U5" s="8"/>
      <c r="V5" s="8"/>
      <c r="W5" s="8"/>
      <c r="X5" s="8"/>
      <c r="Y5" s="8"/>
      <c r="Z5" s="8"/>
      <c r="AA5" s="8"/>
      <c r="AB5" s="8"/>
      <c r="AC5" s="8"/>
      <c r="AD5" s="8"/>
      <c r="AE5" s="8"/>
      <c r="AF5" s="17"/>
      <c r="AG5" s="8"/>
    </row>
    <row r="6">
      <c r="A6" s="9" t="s">
        <v>117</v>
      </c>
      <c r="B6" s="15" t="s">
        <v>118</v>
      </c>
      <c r="C6" s="9" t="s">
        <v>119</v>
      </c>
      <c r="D6" s="9" t="s">
        <v>121</v>
      </c>
      <c r="E6" s="8"/>
      <c r="F6" s="9" t="s">
        <v>122</v>
      </c>
      <c r="G6" s="9">
        <v>0.0</v>
      </c>
      <c r="H6" s="9" t="s">
        <v>72</v>
      </c>
      <c r="I6" s="8"/>
      <c r="J6" s="9" t="s">
        <v>123</v>
      </c>
      <c r="K6" s="9">
        <v>1.0</v>
      </c>
      <c r="L6" s="9" t="s">
        <v>72</v>
      </c>
      <c r="M6" s="9" t="s">
        <v>124</v>
      </c>
      <c r="N6" s="8"/>
      <c r="O6" s="14" t="s">
        <v>125</v>
      </c>
      <c r="P6" s="20">
        <v>6.0</v>
      </c>
      <c r="Q6" s="9" t="s">
        <v>126</v>
      </c>
      <c r="R6" s="8"/>
      <c r="S6" s="8"/>
      <c r="T6" s="8"/>
      <c r="U6" s="8"/>
      <c r="V6" s="8"/>
      <c r="W6" s="8"/>
      <c r="X6" s="8"/>
      <c r="Y6" s="8"/>
      <c r="Z6" s="8"/>
      <c r="AA6" s="8"/>
      <c r="AB6" s="8"/>
      <c r="AC6" s="8"/>
      <c r="AD6" s="8"/>
      <c r="AE6" s="8"/>
      <c r="AF6" s="8"/>
      <c r="AG6" s="8"/>
    </row>
    <row r="7">
      <c r="A7" s="9" t="s">
        <v>127</v>
      </c>
      <c r="B7" s="15" t="s">
        <v>128</v>
      </c>
      <c r="C7" s="9" t="s">
        <v>129</v>
      </c>
      <c r="D7" s="9" t="s">
        <v>130</v>
      </c>
      <c r="E7" s="8"/>
      <c r="F7" s="9" t="s">
        <v>131</v>
      </c>
      <c r="G7" s="21" t="s">
        <v>132</v>
      </c>
      <c r="H7" s="9"/>
      <c r="I7" s="8"/>
      <c r="J7" s="9" t="s">
        <v>133</v>
      </c>
      <c r="K7" s="9" t="s">
        <v>134</v>
      </c>
      <c r="L7" s="9" t="s">
        <v>135</v>
      </c>
      <c r="M7" s="9"/>
      <c r="N7" s="8"/>
      <c r="O7" s="14" t="s">
        <v>136</v>
      </c>
      <c r="P7" s="20">
        <f>1/P6/$B$3*0.2365*1000</f>
        <v>0.3709803922</v>
      </c>
      <c r="Q7" s="22">
        <f>P7*$B$3</f>
        <v>39.41666667</v>
      </c>
      <c r="R7" s="8"/>
      <c r="S7" s="8"/>
      <c r="T7" s="8"/>
      <c r="U7" s="8"/>
      <c r="V7" s="8"/>
      <c r="W7" s="8"/>
      <c r="X7" s="8"/>
      <c r="Y7" s="8"/>
      <c r="Z7" s="8"/>
      <c r="AA7" s="8"/>
      <c r="AB7" s="8"/>
      <c r="AC7" s="8"/>
      <c r="AD7" s="8"/>
      <c r="AE7" s="8"/>
      <c r="AF7" s="8"/>
      <c r="AG7" s="8"/>
    </row>
    <row r="8">
      <c r="A8" s="9" t="s">
        <v>138</v>
      </c>
      <c r="B8" s="15" t="s">
        <v>139</v>
      </c>
      <c r="C8" s="9" t="s">
        <v>119</v>
      </c>
      <c r="D8" s="9" t="s">
        <v>130</v>
      </c>
      <c r="E8" s="8"/>
      <c r="F8" s="9" t="s">
        <v>140</v>
      </c>
      <c r="G8" s="9" t="s">
        <v>141</v>
      </c>
      <c r="H8" s="9"/>
      <c r="I8" s="8"/>
      <c r="J8" s="14" t="s">
        <v>142</v>
      </c>
      <c r="K8" s="14">
        <v>1.0</v>
      </c>
      <c r="L8" s="9"/>
      <c r="M8" s="9"/>
      <c r="N8" s="8"/>
      <c r="O8" s="9" t="s">
        <v>143</v>
      </c>
      <c r="P8" s="20">
        <v>4.25</v>
      </c>
      <c r="Q8" s="9" t="s">
        <v>126</v>
      </c>
      <c r="R8" s="17" t="s">
        <v>144</v>
      </c>
      <c r="S8" s="8"/>
      <c r="T8" s="8"/>
      <c r="U8" s="8"/>
      <c r="V8" s="8"/>
      <c r="W8" s="8"/>
      <c r="X8" s="8"/>
      <c r="Y8" s="8"/>
      <c r="Z8" s="8"/>
      <c r="AA8" s="8"/>
      <c r="AB8" s="8"/>
      <c r="AC8" s="8"/>
      <c r="AD8" s="8"/>
      <c r="AE8" s="8"/>
      <c r="AF8" s="8"/>
      <c r="AG8" s="8"/>
    </row>
    <row r="9">
      <c r="A9" s="9" t="s">
        <v>145</v>
      </c>
      <c r="B9" s="9">
        <v>46.25</v>
      </c>
      <c r="C9" s="9" t="s">
        <v>147</v>
      </c>
      <c r="D9" s="9"/>
      <c r="E9" s="8"/>
      <c r="F9" s="23" t="s">
        <v>148</v>
      </c>
      <c r="G9" s="23">
        <v>1.0</v>
      </c>
      <c r="H9" s="9" t="s">
        <v>149</v>
      </c>
      <c r="I9" s="8"/>
      <c r="J9" s="9" t="s">
        <v>150</v>
      </c>
      <c r="K9" s="9">
        <v>1.0</v>
      </c>
      <c r="L9" s="9" t="s">
        <v>72</v>
      </c>
      <c r="M9" s="9"/>
      <c r="N9" s="8"/>
      <c r="O9" s="9" t="s">
        <v>151</v>
      </c>
      <c r="P9" s="20">
        <v>4.25</v>
      </c>
      <c r="Q9" s="9" t="s">
        <v>126</v>
      </c>
      <c r="R9" s="8"/>
      <c r="S9" s="8"/>
      <c r="T9" s="8"/>
      <c r="U9" s="8"/>
      <c r="V9" s="8"/>
      <c r="W9" s="8"/>
      <c r="X9" s="8"/>
      <c r="Y9" s="8"/>
      <c r="Z9" s="8"/>
      <c r="AA9" s="8"/>
      <c r="AB9" s="8"/>
      <c r="AC9" s="8"/>
      <c r="AD9" s="8"/>
      <c r="AE9" s="8"/>
      <c r="AF9" s="8"/>
      <c r="AG9" s="8"/>
    </row>
    <row r="10">
      <c r="A10" s="24" t="s">
        <v>152</v>
      </c>
      <c r="B10" s="25" t="s">
        <v>154</v>
      </c>
      <c r="C10" s="24"/>
      <c r="D10" s="24" t="s">
        <v>155</v>
      </c>
      <c r="E10" s="8"/>
      <c r="F10" s="8"/>
      <c r="G10" s="8"/>
      <c r="H10" s="8"/>
      <c r="I10" s="8"/>
      <c r="J10" s="9" t="s">
        <v>156</v>
      </c>
      <c r="K10" s="9">
        <v>1.0</v>
      </c>
      <c r="L10" s="9"/>
      <c r="M10" s="9"/>
      <c r="N10" s="8"/>
      <c r="O10" s="9" t="s">
        <v>157</v>
      </c>
      <c r="P10" s="20">
        <f t="shared" ref="P10:P11" si="1">1/P8*0.2365*1000/$B$3</f>
        <v>0.5237370242</v>
      </c>
      <c r="Q10" s="22">
        <f t="shared" ref="Q10:Q11" si="2">P10*$B$3</f>
        <v>55.64705882</v>
      </c>
      <c r="R10" s="8"/>
      <c r="S10" s="8"/>
      <c r="T10" s="8"/>
      <c r="U10" s="8"/>
      <c r="V10" s="8"/>
      <c r="W10" s="8"/>
      <c r="X10" s="8"/>
      <c r="Y10" s="8"/>
      <c r="Z10" s="8"/>
      <c r="AA10" s="8"/>
      <c r="AB10" s="8"/>
      <c r="AC10" s="8"/>
      <c r="AD10" s="8"/>
      <c r="AE10" s="8"/>
      <c r="AF10" s="17"/>
      <c r="AG10" s="8"/>
    </row>
    <row r="11">
      <c r="A11" s="9" t="s">
        <v>158</v>
      </c>
      <c r="B11" s="9" t="s">
        <v>159</v>
      </c>
      <c r="C11" s="9"/>
      <c r="D11" s="9"/>
      <c r="E11" s="8"/>
      <c r="F11" s="26" t="s">
        <v>161</v>
      </c>
      <c r="G11" s="27"/>
      <c r="H11" s="28"/>
      <c r="I11" s="8"/>
      <c r="J11" s="9" t="s">
        <v>162</v>
      </c>
      <c r="K11" s="9" t="s">
        <v>163</v>
      </c>
      <c r="L11" s="9"/>
      <c r="M11" s="9"/>
      <c r="N11" s="8"/>
      <c r="O11" s="9" t="s">
        <v>164</v>
      </c>
      <c r="P11" s="20">
        <f t="shared" si="1"/>
        <v>0.5237370242</v>
      </c>
      <c r="Q11" s="22">
        <f t="shared" si="2"/>
        <v>55.64705882</v>
      </c>
      <c r="R11" s="8"/>
      <c r="S11" s="8"/>
      <c r="T11" s="8"/>
      <c r="U11" s="8"/>
      <c r="V11" s="8"/>
      <c r="W11" s="8"/>
      <c r="X11" s="8"/>
      <c r="Y11" s="8"/>
      <c r="Z11" s="8"/>
      <c r="AA11" s="8"/>
      <c r="AB11" s="8"/>
      <c r="AC11" s="8"/>
      <c r="AD11" s="8"/>
      <c r="AE11" s="8"/>
      <c r="AF11" s="17"/>
      <c r="AG11" s="8"/>
    </row>
    <row r="12">
      <c r="A12" s="9" t="s">
        <v>165</v>
      </c>
      <c r="B12" s="9">
        <v>4.0</v>
      </c>
      <c r="C12" s="9"/>
      <c r="D12" s="9"/>
      <c r="E12" s="8"/>
      <c r="F12" s="23" t="s">
        <v>166</v>
      </c>
      <c r="G12" s="23">
        <v>1.0</v>
      </c>
      <c r="H12" s="9" t="s">
        <v>72</v>
      </c>
      <c r="I12" s="8"/>
      <c r="J12" s="9" t="s">
        <v>167</v>
      </c>
      <c r="K12" s="9">
        <v>2.0</v>
      </c>
      <c r="L12" s="9"/>
      <c r="M12" s="9"/>
      <c r="N12" s="8"/>
      <c r="O12" s="9" t="s">
        <v>168</v>
      </c>
      <c r="P12" s="20">
        <v>0.01</v>
      </c>
      <c r="Q12" s="9" t="s">
        <v>97</v>
      </c>
      <c r="R12" s="8"/>
      <c r="S12" s="8"/>
      <c r="T12" s="8"/>
      <c r="U12" s="8"/>
      <c r="V12" s="8"/>
      <c r="W12" s="8"/>
      <c r="X12" s="8"/>
      <c r="Y12" s="8"/>
      <c r="Z12" s="8"/>
      <c r="AA12" s="8"/>
      <c r="AB12" s="8"/>
      <c r="AC12" s="8"/>
      <c r="AD12" s="8"/>
      <c r="AE12" s="8"/>
      <c r="AF12" s="8"/>
      <c r="AG12" s="8"/>
    </row>
    <row r="13">
      <c r="A13" s="9" t="s">
        <v>169</v>
      </c>
      <c r="B13" s="9">
        <v>32.0</v>
      </c>
      <c r="C13" s="9"/>
      <c r="D13" s="9"/>
      <c r="E13" s="8"/>
      <c r="F13" s="23" t="s">
        <v>171</v>
      </c>
      <c r="G13" s="23">
        <v>1.0</v>
      </c>
      <c r="H13" s="9" t="s">
        <v>72</v>
      </c>
      <c r="I13" s="8"/>
      <c r="J13" s="9" t="s">
        <v>172</v>
      </c>
      <c r="K13" s="15">
        <v>6.7E10</v>
      </c>
      <c r="L13" s="9" t="s">
        <v>173</v>
      </c>
      <c r="M13" s="9"/>
      <c r="N13" s="8"/>
      <c r="O13" s="14" t="s">
        <v>174</v>
      </c>
      <c r="P13" s="20">
        <v>67.0</v>
      </c>
      <c r="Q13" s="9" t="s">
        <v>97</v>
      </c>
      <c r="R13" s="8"/>
      <c r="S13" s="8"/>
      <c r="T13" s="8"/>
      <c r="U13" s="8"/>
      <c r="V13" s="8"/>
      <c r="W13" s="8"/>
      <c r="X13" s="8"/>
      <c r="Y13" s="8"/>
      <c r="Z13" s="8"/>
      <c r="AA13" s="8"/>
      <c r="AB13" s="8"/>
      <c r="AC13" s="8"/>
      <c r="AD13" s="8"/>
      <c r="AE13" s="8"/>
      <c r="AF13" s="17"/>
      <c r="AG13" s="8"/>
    </row>
    <row r="14">
      <c r="A14" s="4" t="s">
        <v>175</v>
      </c>
      <c r="B14" s="5"/>
      <c r="C14" s="5"/>
      <c r="D14" s="6"/>
      <c r="E14" s="8"/>
      <c r="F14" s="9" t="s">
        <v>176</v>
      </c>
      <c r="G14" s="9">
        <v>0.0</v>
      </c>
      <c r="H14" s="9" t="s">
        <v>115</v>
      </c>
      <c r="I14" s="8"/>
      <c r="J14" s="9" t="s">
        <v>177</v>
      </c>
      <c r="K14" s="9">
        <v>1.0</v>
      </c>
      <c r="L14" s="9" t="s">
        <v>72</v>
      </c>
      <c r="M14" s="9"/>
      <c r="N14" s="8"/>
      <c r="O14" s="14" t="s">
        <v>178</v>
      </c>
      <c r="P14" s="20">
        <v>0.6</v>
      </c>
      <c r="Q14" s="9" t="s">
        <v>107</v>
      </c>
      <c r="R14" s="8"/>
      <c r="S14" s="8"/>
      <c r="T14" s="8"/>
      <c r="U14" s="8"/>
      <c r="V14" s="8"/>
      <c r="W14" s="8"/>
      <c r="X14" s="8"/>
      <c r="Y14" s="8"/>
      <c r="Z14" s="8"/>
      <c r="AA14" s="8"/>
      <c r="AB14" s="8"/>
      <c r="AC14" s="8"/>
      <c r="AD14" s="8"/>
      <c r="AE14" s="8"/>
      <c r="AF14" s="8"/>
      <c r="AG14" s="8"/>
    </row>
    <row r="15">
      <c r="A15" s="9" t="s">
        <v>179</v>
      </c>
      <c r="B15" s="9">
        <v>0.55</v>
      </c>
      <c r="C15" s="9" t="s">
        <v>180</v>
      </c>
      <c r="D15" s="9"/>
      <c r="E15" s="8"/>
      <c r="F15" s="9" t="s">
        <v>181</v>
      </c>
      <c r="G15" s="9">
        <f>0.005</f>
        <v>0.005</v>
      </c>
      <c r="H15" s="9"/>
      <c r="I15" s="8"/>
      <c r="J15" s="4" t="s">
        <v>182</v>
      </c>
      <c r="K15" s="5"/>
      <c r="L15" s="5"/>
      <c r="M15" s="6"/>
      <c r="N15" s="8"/>
      <c r="O15" s="11" t="s">
        <v>184</v>
      </c>
      <c r="P15" s="20">
        <v>0.6</v>
      </c>
      <c r="Q15" s="9" t="s">
        <v>107</v>
      </c>
      <c r="R15" s="8"/>
      <c r="S15" s="8"/>
      <c r="T15" s="8"/>
      <c r="U15" s="8"/>
      <c r="V15" s="8"/>
      <c r="W15" s="8"/>
      <c r="X15" s="8"/>
      <c r="Y15" s="8"/>
      <c r="Z15" s="8"/>
      <c r="AA15" s="8"/>
      <c r="AB15" s="8"/>
      <c r="AC15" s="8"/>
      <c r="AD15" s="8"/>
      <c r="AE15" s="8"/>
      <c r="AF15" s="8"/>
      <c r="AG15" s="8"/>
    </row>
    <row r="16" ht="13.5" customHeight="1">
      <c r="A16" s="9" t="s">
        <v>189</v>
      </c>
      <c r="B16" s="9">
        <v>0.54</v>
      </c>
      <c r="C16" s="9"/>
      <c r="D16" s="9" t="s">
        <v>191</v>
      </c>
      <c r="E16" s="8"/>
      <c r="F16" s="9" t="s">
        <v>192</v>
      </c>
      <c r="G16" s="9">
        <v>7000.0</v>
      </c>
      <c r="H16" s="9" t="s">
        <v>72</v>
      </c>
      <c r="I16" s="9"/>
      <c r="J16" s="9" t="s">
        <v>196</v>
      </c>
      <c r="K16" s="11">
        <v>6.0</v>
      </c>
      <c r="L16" s="9" t="s">
        <v>197</v>
      </c>
      <c r="M16" s="9" t="s">
        <v>198</v>
      </c>
      <c r="N16" s="8"/>
      <c r="O16" s="8"/>
      <c r="P16" s="8"/>
      <c r="Q16" s="8"/>
      <c r="R16" s="8"/>
      <c r="S16" s="8"/>
      <c r="T16" s="8"/>
      <c r="U16" s="8"/>
      <c r="V16" s="8"/>
      <c r="W16" s="8"/>
      <c r="X16" s="8"/>
      <c r="Y16" s="8"/>
      <c r="Z16" s="8"/>
      <c r="AA16" s="8"/>
      <c r="AB16" s="8"/>
      <c r="AC16" s="8"/>
      <c r="AD16" s="8"/>
      <c r="AE16" s="8"/>
      <c r="AF16" s="8"/>
      <c r="AG16" s="8"/>
    </row>
    <row r="17">
      <c r="A17" s="9" t="s">
        <v>202</v>
      </c>
      <c r="B17" s="24" t="s">
        <v>203</v>
      </c>
      <c r="C17" s="9" t="s">
        <v>203</v>
      </c>
      <c r="D17" s="9" t="s">
        <v>204</v>
      </c>
      <c r="E17" s="8"/>
      <c r="F17" s="9" t="s">
        <v>205</v>
      </c>
      <c r="G17" s="9">
        <v>1.0</v>
      </c>
      <c r="H17" s="9"/>
      <c r="I17" s="8"/>
      <c r="J17" s="9" t="s">
        <v>207</v>
      </c>
      <c r="K17" s="9">
        <v>8.0</v>
      </c>
      <c r="L17" s="9" t="s">
        <v>197</v>
      </c>
      <c r="M17" s="9" t="s">
        <v>210</v>
      </c>
      <c r="N17" s="8"/>
      <c r="O17" s="11" t="s">
        <v>60</v>
      </c>
      <c r="P17" s="11" t="s">
        <v>63</v>
      </c>
      <c r="Q17" s="11"/>
      <c r="R17" s="8"/>
      <c r="S17" s="8"/>
      <c r="T17" s="8"/>
      <c r="U17" s="8"/>
      <c r="V17" s="8"/>
      <c r="W17" s="8"/>
      <c r="X17" s="8"/>
      <c r="Y17" s="8"/>
      <c r="Z17" s="8"/>
      <c r="AA17" s="8"/>
      <c r="AB17" s="8"/>
      <c r="AC17" s="8"/>
      <c r="AD17" s="8"/>
      <c r="AE17" s="8"/>
      <c r="AF17" s="8"/>
      <c r="AG17" s="8"/>
    </row>
    <row r="18">
      <c r="A18" s="23" t="s">
        <v>212</v>
      </c>
      <c r="B18" s="24" t="s">
        <v>214</v>
      </c>
      <c r="C18" s="9" t="s">
        <v>215</v>
      </c>
      <c r="D18" s="9" t="s">
        <v>204</v>
      </c>
      <c r="E18" s="8"/>
      <c r="F18" s="9" t="s">
        <v>216</v>
      </c>
      <c r="G18" s="9">
        <v>0.0</v>
      </c>
      <c r="H18" s="14"/>
      <c r="I18" s="8"/>
      <c r="J18" s="9" t="s">
        <v>217</v>
      </c>
      <c r="K18" s="9">
        <v>0.7</v>
      </c>
      <c r="L18" s="9" t="s">
        <v>218</v>
      </c>
      <c r="M18" s="9" t="s">
        <v>219</v>
      </c>
      <c r="N18" s="8"/>
      <c r="O18" s="9" t="s">
        <v>221</v>
      </c>
      <c r="P18" s="29" t="s">
        <v>223</v>
      </c>
      <c r="Q18" s="9" t="s">
        <v>225</v>
      </c>
      <c r="R18" s="8"/>
      <c r="S18" s="8"/>
      <c r="T18" s="8"/>
      <c r="U18" s="8"/>
      <c r="V18" s="8"/>
      <c r="W18" s="8"/>
      <c r="X18" s="8"/>
      <c r="Y18" s="8"/>
      <c r="Z18" s="8"/>
      <c r="AA18" s="8"/>
      <c r="AB18" s="8"/>
      <c r="AC18" s="8"/>
      <c r="AD18" s="8"/>
      <c r="AE18" s="8"/>
      <c r="AF18" s="8"/>
      <c r="AG18" s="8"/>
    </row>
    <row r="19">
      <c r="A19" s="23" t="s">
        <v>227</v>
      </c>
      <c r="B19" s="24">
        <v>0.0</v>
      </c>
      <c r="C19" s="9"/>
      <c r="D19" s="9" t="s">
        <v>204</v>
      </c>
      <c r="E19" s="8"/>
      <c r="F19" s="14" t="s">
        <v>229</v>
      </c>
      <c r="G19" s="9">
        <v>0.618</v>
      </c>
      <c r="H19" s="14"/>
      <c r="I19" s="8"/>
      <c r="J19" s="9" t="s">
        <v>231</v>
      </c>
      <c r="K19" s="9">
        <v>0.7</v>
      </c>
      <c r="L19" s="9" t="s">
        <v>218</v>
      </c>
      <c r="M19" s="9" t="s">
        <v>232</v>
      </c>
      <c r="N19" s="8"/>
      <c r="O19" s="9" t="s">
        <v>233</v>
      </c>
      <c r="P19" s="30">
        <v>0.00579</v>
      </c>
      <c r="Q19" s="9" t="s">
        <v>236</v>
      </c>
      <c r="R19" s="8"/>
      <c r="S19" s="8"/>
      <c r="T19" s="8"/>
      <c r="U19" s="8"/>
      <c r="V19" s="8"/>
      <c r="W19" s="8"/>
      <c r="X19" s="8"/>
      <c r="Y19" s="8"/>
      <c r="Z19" s="8"/>
      <c r="AA19" s="8"/>
      <c r="AB19" s="8"/>
      <c r="AC19" s="8"/>
      <c r="AD19" s="8"/>
      <c r="AE19" s="8"/>
      <c r="AF19" s="8"/>
      <c r="AG19" s="8"/>
    </row>
    <row r="20">
      <c r="A20" s="8" t="s">
        <v>238</v>
      </c>
      <c r="B20" s="31">
        <v>0.0</v>
      </c>
      <c r="C20" s="9"/>
      <c r="D20" s="8" t="s">
        <v>204</v>
      </c>
      <c r="E20" s="8"/>
      <c r="F20" s="14" t="s">
        <v>243</v>
      </c>
      <c r="G20" s="9">
        <v>0.0</v>
      </c>
      <c r="H20" s="9" t="s">
        <v>197</v>
      </c>
      <c r="I20" s="8"/>
      <c r="J20" s="9" t="s">
        <v>244</v>
      </c>
      <c r="K20" s="9">
        <v>0.7</v>
      </c>
      <c r="L20" s="9" t="s">
        <v>218</v>
      </c>
      <c r="M20" s="9" t="s">
        <v>245</v>
      </c>
      <c r="N20" s="8"/>
      <c r="O20" s="9" t="s">
        <v>246</v>
      </c>
      <c r="P20" s="9">
        <v>92.5</v>
      </c>
      <c r="Q20" s="9" t="s">
        <v>147</v>
      </c>
      <c r="R20" s="8"/>
      <c r="S20" s="8"/>
      <c r="T20" s="8"/>
      <c r="U20" s="8"/>
      <c r="V20" s="8"/>
      <c r="W20" s="8"/>
      <c r="X20" s="8"/>
      <c r="Y20" s="8"/>
      <c r="Z20" s="8"/>
      <c r="AA20" s="8"/>
      <c r="AB20" s="8"/>
      <c r="AC20" s="8"/>
      <c r="AD20" s="8"/>
      <c r="AE20" s="8"/>
      <c r="AF20" s="8"/>
      <c r="AG20" s="8"/>
    </row>
    <row r="21" ht="15.75" customHeight="1">
      <c r="A21" s="9" t="s">
        <v>250</v>
      </c>
      <c r="B21" s="24" t="s">
        <v>251</v>
      </c>
      <c r="C21" s="9" t="s">
        <v>251</v>
      </c>
      <c r="D21" s="9" t="s">
        <v>204</v>
      </c>
      <c r="E21" s="8"/>
      <c r="F21" s="9" t="s">
        <v>252</v>
      </c>
      <c r="G21" s="9">
        <v>16.0</v>
      </c>
      <c r="H21" s="9" t="s">
        <v>253</v>
      </c>
      <c r="I21" s="8"/>
      <c r="J21" s="9" t="s">
        <v>254</v>
      </c>
      <c r="K21" s="9">
        <v>4096.0</v>
      </c>
      <c r="L21" s="9"/>
      <c r="M21" s="9"/>
      <c r="N21" s="8"/>
      <c r="O21" s="9" t="s">
        <v>257</v>
      </c>
      <c r="P21" s="29">
        <v>9.0</v>
      </c>
      <c r="Q21" s="9" t="s">
        <v>259</v>
      </c>
      <c r="R21" s="8"/>
      <c r="S21" s="8"/>
      <c r="T21" s="8"/>
      <c r="U21" s="8"/>
      <c r="V21" s="8"/>
      <c r="W21" s="8"/>
      <c r="X21" s="8"/>
      <c r="Y21" s="8"/>
      <c r="Z21" s="8"/>
      <c r="AA21" s="8"/>
      <c r="AB21" s="8"/>
      <c r="AC21" s="8"/>
      <c r="AD21" s="8"/>
      <c r="AE21" s="8"/>
      <c r="AF21" s="8"/>
      <c r="AG21" s="8"/>
    </row>
    <row r="22" ht="15.75" customHeight="1">
      <c r="A22" s="9" t="s">
        <v>241</v>
      </c>
      <c r="B22" s="9">
        <v>1.0</v>
      </c>
      <c r="C22" s="9" t="s">
        <v>197</v>
      </c>
      <c r="D22" s="9"/>
      <c r="E22" s="8"/>
      <c r="F22" s="9" t="s">
        <v>262</v>
      </c>
      <c r="G22" s="13" t="s">
        <v>263</v>
      </c>
      <c r="H22" s="9"/>
      <c r="I22" s="8"/>
      <c r="J22" s="32" t="s">
        <v>266</v>
      </c>
      <c r="K22" s="5"/>
      <c r="L22" s="5"/>
      <c r="M22" s="6"/>
      <c r="N22" s="8"/>
      <c r="O22" s="9" t="s">
        <v>271</v>
      </c>
      <c r="P22" s="29">
        <v>9.0</v>
      </c>
      <c r="Q22" s="9" t="s">
        <v>259</v>
      </c>
      <c r="R22" s="8"/>
      <c r="S22" s="8"/>
      <c r="T22" s="8"/>
      <c r="U22" s="8"/>
      <c r="V22" s="8"/>
      <c r="W22" s="8"/>
      <c r="X22" s="8"/>
      <c r="Y22" s="8"/>
      <c r="Z22" s="8"/>
      <c r="AA22" s="8"/>
      <c r="AB22" s="8"/>
      <c r="AC22" s="8"/>
      <c r="AD22" s="8"/>
      <c r="AE22" s="8"/>
      <c r="AF22" s="8"/>
      <c r="AG22" s="8"/>
    </row>
    <row r="23" ht="15.75" customHeight="1">
      <c r="A23" s="10" t="s">
        <v>274</v>
      </c>
      <c r="B23" s="9">
        <v>0.85</v>
      </c>
      <c r="C23" s="33"/>
      <c r="D23" s="33" t="s">
        <v>277</v>
      </c>
      <c r="E23" s="8"/>
      <c r="F23" s="14" t="s">
        <v>279</v>
      </c>
      <c r="G23" s="21">
        <v>1.0</v>
      </c>
      <c r="H23" s="9"/>
      <c r="I23" s="8"/>
      <c r="J23" s="34" t="s">
        <v>265</v>
      </c>
      <c r="K23" s="11">
        <v>2.0</v>
      </c>
      <c r="L23" s="35" t="s">
        <v>282</v>
      </c>
      <c r="M23" s="9" t="s">
        <v>283</v>
      </c>
      <c r="N23" s="8"/>
      <c r="O23" s="9" t="s">
        <v>284</v>
      </c>
      <c r="P23" s="29">
        <v>9.0</v>
      </c>
      <c r="Q23" s="9" t="s">
        <v>259</v>
      </c>
      <c r="R23" s="8"/>
      <c r="S23" s="8"/>
      <c r="T23" s="8"/>
      <c r="U23" s="8"/>
      <c r="V23" s="8"/>
      <c r="W23" s="8"/>
      <c r="X23" s="8"/>
      <c r="Y23" s="8"/>
      <c r="Z23" s="8"/>
      <c r="AA23" s="8"/>
      <c r="AB23" s="8"/>
      <c r="AC23" s="8"/>
      <c r="AD23" s="8"/>
      <c r="AE23" s="8"/>
      <c r="AF23" s="8"/>
      <c r="AG23" s="8"/>
    </row>
    <row r="24" ht="15.75" customHeight="1">
      <c r="A24" s="10" t="s">
        <v>288</v>
      </c>
      <c r="B24" s="9">
        <v>0.0</v>
      </c>
      <c r="C24" s="33"/>
      <c r="D24" s="33" t="s">
        <v>289</v>
      </c>
      <c r="E24" s="8"/>
      <c r="F24" s="14" t="s">
        <v>290</v>
      </c>
      <c r="G24" s="21">
        <v>46.25</v>
      </c>
      <c r="H24" s="9"/>
      <c r="I24" s="8"/>
      <c r="J24" s="34" t="s">
        <v>269</v>
      </c>
      <c r="K24" s="14">
        <v>4.0</v>
      </c>
      <c r="L24" s="35" t="s">
        <v>294</v>
      </c>
      <c r="M24" s="9" t="s">
        <v>295</v>
      </c>
      <c r="N24" s="36"/>
      <c r="O24" s="9" t="s">
        <v>296</v>
      </c>
      <c r="P24" s="29">
        <v>9.0</v>
      </c>
      <c r="Q24" s="9" t="s">
        <v>259</v>
      </c>
      <c r="R24" s="8"/>
      <c r="S24" s="8"/>
      <c r="T24" s="8"/>
      <c r="U24" s="8"/>
      <c r="V24" s="8"/>
      <c r="W24" s="8"/>
      <c r="X24" s="8"/>
      <c r="Y24" s="8"/>
      <c r="Z24" s="8"/>
      <c r="AA24" s="8"/>
      <c r="AB24" s="8"/>
      <c r="AC24" s="8"/>
      <c r="AD24" s="8"/>
      <c r="AE24" s="8"/>
      <c r="AF24" s="8"/>
      <c r="AG24" s="8"/>
    </row>
    <row r="25" ht="15.75" customHeight="1">
      <c r="A25" s="10" t="s">
        <v>300</v>
      </c>
      <c r="B25" s="9">
        <v>0.0</v>
      </c>
      <c r="C25" s="33"/>
      <c r="D25" s="33" t="s">
        <v>277</v>
      </c>
      <c r="E25" s="8"/>
      <c r="F25" s="4" t="s">
        <v>301</v>
      </c>
      <c r="G25" s="6"/>
      <c r="H25" s="9" t="s">
        <v>197</v>
      </c>
      <c r="I25" s="8"/>
      <c r="J25" s="34" t="s">
        <v>276</v>
      </c>
      <c r="K25" s="14">
        <v>80.0</v>
      </c>
      <c r="L25" s="35" t="s">
        <v>305</v>
      </c>
      <c r="M25" s="9" t="s">
        <v>306</v>
      </c>
      <c r="N25" s="36"/>
      <c r="O25" s="15" t="s">
        <v>307</v>
      </c>
      <c r="P25" s="15" t="s">
        <v>263</v>
      </c>
      <c r="Q25" s="14" t="s">
        <v>119</v>
      </c>
      <c r="R25" s="8"/>
      <c r="S25" s="8"/>
      <c r="T25" s="8"/>
      <c r="U25" s="8"/>
      <c r="V25" s="8"/>
      <c r="W25" s="8"/>
      <c r="X25" s="8"/>
      <c r="Y25" s="8"/>
      <c r="Z25" s="8"/>
      <c r="AA25" s="8"/>
      <c r="AB25" s="8"/>
      <c r="AC25" s="8"/>
      <c r="AD25" s="8"/>
      <c r="AE25" s="8"/>
      <c r="AF25" s="8"/>
      <c r="AG25" s="8"/>
    </row>
    <row r="26" ht="13.5" customHeight="1">
      <c r="A26" s="10" t="s">
        <v>310</v>
      </c>
      <c r="B26" s="9">
        <v>0.0</v>
      </c>
      <c r="C26" s="33" t="s">
        <v>311</v>
      </c>
      <c r="D26" s="33" t="s">
        <v>289</v>
      </c>
      <c r="E26" s="8"/>
      <c r="F26" s="9" t="s">
        <v>312</v>
      </c>
      <c r="G26" s="9">
        <v>0.01</v>
      </c>
      <c r="H26" s="9" t="s">
        <v>197</v>
      </c>
      <c r="I26" s="8"/>
      <c r="J26" s="34" t="s">
        <v>286</v>
      </c>
      <c r="K26" s="14">
        <v>0.05</v>
      </c>
      <c r="L26" s="35" t="s">
        <v>314</v>
      </c>
      <c r="M26" s="9" t="s">
        <v>315</v>
      </c>
      <c r="N26" s="8"/>
      <c r="O26" s="15" t="s">
        <v>317</v>
      </c>
      <c r="P26" s="15" t="s">
        <v>263</v>
      </c>
      <c r="Q26" s="14" t="s">
        <v>119</v>
      </c>
      <c r="R26" s="8"/>
      <c r="S26" s="8"/>
      <c r="T26" s="8"/>
      <c r="U26" s="8"/>
      <c r="V26" s="8"/>
      <c r="W26" s="8"/>
      <c r="X26" s="8"/>
      <c r="Y26" s="8"/>
      <c r="Z26" s="8"/>
      <c r="AA26" s="8"/>
      <c r="AB26" s="8"/>
      <c r="AC26" s="8"/>
      <c r="AD26" s="8"/>
      <c r="AE26" s="8"/>
      <c r="AF26" s="8"/>
      <c r="AG26" s="8"/>
    </row>
    <row r="27" ht="15.75" customHeight="1">
      <c r="A27" s="9" t="s">
        <v>319</v>
      </c>
      <c r="B27" s="9" t="s">
        <v>322</v>
      </c>
      <c r="C27" s="9" t="s">
        <v>78</v>
      </c>
      <c r="D27" s="9" t="s">
        <v>204</v>
      </c>
      <c r="E27" s="8"/>
      <c r="F27" s="9" t="s">
        <v>323</v>
      </c>
      <c r="G27" s="9">
        <v>0.02</v>
      </c>
      <c r="H27" s="9" t="s">
        <v>324</v>
      </c>
      <c r="I27" s="8"/>
      <c r="J27" s="37" t="s">
        <v>298</v>
      </c>
      <c r="K27" s="38">
        <f>K17+1</f>
        <v>9</v>
      </c>
      <c r="L27" s="39" t="s">
        <v>332</v>
      </c>
      <c r="M27" s="40" t="s">
        <v>335</v>
      </c>
      <c r="N27" s="8"/>
      <c r="O27" s="11" t="s">
        <v>336</v>
      </c>
      <c r="P27" s="11">
        <v>0.0</v>
      </c>
      <c r="Q27" s="11" t="s">
        <v>72</v>
      </c>
      <c r="R27" s="8"/>
      <c r="S27" s="8"/>
      <c r="T27" s="8"/>
      <c r="U27" s="8"/>
      <c r="V27" s="8"/>
      <c r="W27" s="8"/>
      <c r="X27" s="8"/>
      <c r="Y27" s="8"/>
      <c r="Z27" s="8"/>
      <c r="AA27" s="8"/>
      <c r="AB27" s="8"/>
      <c r="AC27" s="8"/>
      <c r="AD27" s="8"/>
      <c r="AE27" s="8"/>
      <c r="AF27" s="8"/>
      <c r="AG27" s="8"/>
    </row>
    <row r="28" ht="15.75" customHeight="1">
      <c r="A28" s="9" t="s">
        <v>340</v>
      </c>
      <c r="B28" s="22">
        <f>B3/2.5</f>
        <v>42.5</v>
      </c>
      <c r="C28" s="9" t="s">
        <v>97</v>
      </c>
      <c r="D28" s="9"/>
      <c r="E28" s="8"/>
      <c r="F28" s="9" t="s">
        <v>345</v>
      </c>
      <c r="G28" s="41">
        <v>7.5E-9</v>
      </c>
      <c r="H28" s="9" t="s">
        <v>78</v>
      </c>
      <c r="I28" s="8"/>
      <c r="J28" s="9" t="s">
        <v>349</v>
      </c>
      <c r="K28" s="9" t="s">
        <v>350</v>
      </c>
      <c r="L28" s="9"/>
      <c r="M28" s="9"/>
      <c r="N28" s="8"/>
      <c r="O28" s="8"/>
      <c r="P28" s="8"/>
      <c r="Q28" s="8"/>
      <c r="R28" s="8"/>
      <c r="S28" s="8"/>
      <c r="T28" s="8"/>
      <c r="U28" s="8"/>
      <c r="V28" s="8"/>
      <c r="W28" s="8"/>
      <c r="X28" s="8"/>
      <c r="Y28" s="8"/>
      <c r="Z28" s="8"/>
      <c r="AA28" s="8"/>
      <c r="AB28" s="8"/>
      <c r="AC28" s="8"/>
      <c r="AD28" s="8"/>
      <c r="AE28" s="8"/>
      <c r="AF28" s="8"/>
      <c r="AG28" s="8"/>
    </row>
    <row r="29" ht="15.75" customHeight="1">
      <c r="A29" s="9" t="s">
        <v>354</v>
      </c>
      <c r="B29" s="22">
        <f>B3/2.5</f>
        <v>42.5</v>
      </c>
      <c r="C29" s="9" t="s">
        <v>97</v>
      </c>
      <c r="D29" s="9"/>
      <c r="E29" s="8"/>
      <c r="F29" s="9" t="s">
        <v>359</v>
      </c>
      <c r="G29" s="42">
        <v>33.5</v>
      </c>
      <c r="H29" s="9"/>
      <c r="I29" s="8"/>
      <c r="J29" s="9" t="s">
        <v>362</v>
      </c>
      <c r="K29" s="9">
        <v>1.0</v>
      </c>
      <c r="L29" s="9" t="s">
        <v>363</v>
      </c>
      <c r="M29" s="9" t="s">
        <v>366</v>
      </c>
      <c r="N29" s="8"/>
      <c r="O29" s="8"/>
      <c r="P29" s="8"/>
      <c r="Q29" s="8"/>
      <c r="R29" s="8"/>
      <c r="S29" s="8"/>
      <c r="T29" s="8"/>
      <c r="U29" s="8"/>
      <c r="V29" s="8"/>
      <c r="W29" s="8"/>
      <c r="X29" s="8"/>
      <c r="Y29" s="8"/>
      <c r="Z29" s="8"/>
      <c r="AA29" s="8"/>
      <c r="AB29" s="8"/>
      <c r="AC29" s="8"/>
      <c r="AD29" s="8"/>
      <c r="AE29" s="8"/>
      <c r="AF29" s="8"/>
      <c r="AG29" s="8"/>
    </row>
    <row r="30" ht="15.75" customHeight="1">
      <c r="A30" s="9" t="s">
        <v>369</v>
      </c>
      <c r="B30" s="22">
        <f>B3</f>
        <v>106.25</v>
      </c>
      <c r="C30" s="9" t="s">
        <v>97</v>
      </c>
      <c r="D30" s="9"/>
      <c r="E30" s="8"/>
      <c r="F30" s="43" t="s">
        <v>374</v>
      </c>
      <c r="G30" s="43">
        <v>0.95</v>
      </c>
      <c r="H30" s="43"/>
      <c r="I30" s="8"/>
      <c r="J30" s="9" t="s">
        <v>376</v>
      </c>
      <c r="K30" s="9" t="s">
        <v>377</v>
      </c>
      <c r="L30" s="9" t="s">
        <v>378</v>
      </c>
      <c r="M30" s="9"/>
      <c r="N30" s="8"/>
      <c r="O30" s="8"/>
      <c r="P30" s="8"/>
      <c r="Q30" s="8"/>
      <c r="R30" s="8"/>
      <c r="S30" s="8"/>
      <c r="T30" s="8"/>
      <c r="U30" s="8"/>
      <c r="V30" s="8"/>
      <c r="W30" s="8"/>
      <c r="X30" s="8"/>
      <c r="Y30" s="8"/>
      <c r="Z30" s="8"/>
      <c r="AA30" s="8"/>
      <c r="AB30" s="8"/>
      <c r="AC30" s="8"/>
      <c r="AD30" s="8"/>
      <c r="AE30" s="8"/>
      <c r="AF30" s="8"/>
      <c r="AG30" s="8"/>
    </row>
    <row r="31" ht="15.75" customHeight="1">
      <c r="A31" s="9" t="s">
        <v>343</v>
      </c>
      <c r="B31" s="9" t="s">
        <v>383</v>
      </c>
      <c r="C31" s="9"/>
      <c r="D31" s="9" t="s">
        <v>204</v>
      </c>
      <c r="E31" s="8"/>
      <c r="F31" s="9" t="s">
        <v>384</v>
      </c>
      <c r="G31" s="9">
        <v>6.0</v>
      </c>
      <c r="H31" s="9"/>
      <c r="I31" s="8"/>
      <c r="J31" s="44" t="s">
        <v>386</v>
      </c>
      <c r="K31" s="15">
        <v>1.0E-7</v>
      </c>
      <c r="L31" s="9"/>
      <c r="M31" s="9"/>
      <c r="N31" s="8"/>
      <c r="O31" s="8"/>
      <c r="P31" s="8"/>
      <c r="Q31" s="8"/>
      <c r="R31" s="8"/>
      <c r="S31" s="8"/>
      <c r="T31" s="8"/>
      <c r="U31" s="8"/>
      <c r="V31" s="8"/>
      <c r="W31" s="8"/>
      <c r="X31" s="8"/>
      <c r="Y31" s="8"/>
      <c r="Z31" s="8"/>
      <c r="AA31" s="8"/>
      <c r="AB31" s="8"/>
      <c r="AC31" s="8"/>
      <c r="AD31" s="8"/>
      <c r="AE31" s="8"/>
      <c r="AF31" s="8"/>
      <c r="AG31" s="8"/>
    </row>
    <row r="32" ht="15.75" customHeight="1">
      <c r="A32" s="9" t="s">
        <v>347</v>
      </c>
      <c r="B32" s="9">
        <f>B3/80</f>
        <v>1.328125</v>
      </c>
      <c r="C32" s="9" t="s">
        <v>97</v>
      </c>
      <c r="D32" s="9"/>
      <c r="E32" s="8"/>
      <c r="F32" s="9" t="s">
        <v>387</v>
      </c>
      <c r="G32" s="15">
        <v>1.0E-7</v>
      </c>
      <c r="H32" s="9"/>
      <c r="I32" s="8"/>
      <c r="J32" s="8"/>
      <c r="K32" s="8"/>
      <c r="L32" s="8"/>
      <c r="M32" s="8"/>
      <c r="N32" s="8"/>
      <c r="O32" s="8"/>
      <c r="P32" s="8"/>
      <c r="Q32" s="8"/>
      <c r="R32" s="8"/>
      <c r="S32" s="8"/>
      <c r="T32" s="8"/>
      <c r="U32" s="8"/>
      <c r="V32" s="8"/>
      <c r="W32" s="8"/>
      <c r="X32" s="8"/>
      <c r="Y32" s="8"/>
      <c r="Z32" s="8"/>
      <c r="AA32" s="8"/>
      <c r="AB32" s="8"/>
      <c r="AC32" s="8"/>
      <c r="AD32" s="8"/>
      <c r="AE32" s="8"/>
      <c r="AF32" s="8"/>
      <c r="AG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row>
    <row r="34" ht="15.75" customHeight="1">
      <c r="A34" s="8"/>
      <c r="B34" s="8"/>
      <c r="C34" s="8"/>
      <c r="D34" s="8"/>
      <c r="E34" s="8"/>
      <c r="F34" s="8"/>
      <c r="G34" s="8"/>
      <c r="H34" s="8"/>
      <c r="I34" s="8"/>
      <c r="J34" s="8"/>
      <c r="K34" s="8"/>
      <c r="L34" s="8"/>
      <c r="M34" s="8"/>
      <c r="N34" s="8"/>
      <c r="O34" s="36"/>
      <c r="P34" s="36"/>
      <c r="Q34" s="36"/>
      <c r="R34" s="8"/>
      <c r="S34" s="8"/>
      <c r="T34" s="8"/>
      <c r="U34" s="8"/>
      <c r="V34" s="8"/>
      <c r="W34" s="8"/>
      <c r="X34" s="8"/>
      <c r="Y34" s="8"/>
      <c r="Z34" s="8"/>
      <c r="AA34" s="8"/>
      <c r="AB34" s="8"/>
      <c r="AC34" s="8"/>
      <c r="AD34" s="8"/>
      <c r="AE34" s="8"/>
      <c r="AF34" s="8"/>
      <c r="AG34" s="8"/>
    </row>
    <row r="35" ht="15.75" customHeight="1">
      <c r="A35" s="46" t="s">
        <v>392</v>
      </c>
      <c r="B35" s="46" t="s">
        <v>394</v>
      </c>
      <c r="C35" s="47"/>
      <c r="D35" s="46"/>
      <c r="E35" s="8"/>
      <c r="F35" s="8"/>
      <c r="G35" s="8"/>
      <c r="H35" s="8"/>
      <c r="I35" s="8"/>
      <c r="J35" s="8"/>
      <c r="K35" s="8"/>
      <c r="L35" s="8"/>
      <c r="M35" s="8"/>
      <c r="N35" s="8"/>
      <c r="O35" s="17"/>
      <c r="P35" s="8"/>
      <c r="Q35" s="8"/>
      <c r="R35" s="8"/>
      <c r="S35" s="8"/>
      <c r="T35" s="8"/>
      <c r="U35" s="8"/>
      <c r="V35" s="8"/>
      <c r="W35" s="8"/>
      <c r="X35" s="8"/>
      <c r="Y35" s="8"/>
      <c r="Z35" s="8"/>
      <c r="AA35" s="8"/>
      <c r="AB35" s="8"/>
      <c r="AC35" s="8"/>
      <c r="AD35" s="8"/>
      <c r="AE35" s="8"/>
      <c r="AF35" s="8"/>
      <c r="AG35" s="8"/>
    </row>
    <row r="36" ht="15.75" customHeight="1">
      <c r="A36" s="8" t="s">
        <v>60</v>
      </c>
      <c r="B36" s="48" t="s">
        <v>63</v>
      </c>
      <c r="C36" s="48" t="s">
        <v>65</v>
      </c>
      <c r="D36" s="9" t="s">
        <v>66</v>
      </c>
      <c r="E36" s="8"/>
      <c r="F36" s="8"/>
      <c r="G36" s="8"/>
      <c r="H36" s="8"/>
      <c r="I36" s="8"/>
      <c r="J36" s="8"/>
      <c r="K36" s="8"/>
      <c r="L36" s="8"/>
      <c r="M36" s="8"/>
      <c r="N36" s="36"/>
      <c r="O36" s="8"/>
      <c r="P36" s="8"/>
      <c r="Q36" s="8"/>
      <c r="R36" s="8"/>
      <c r="S36" s="8"/>
      <c r="T36" s="8"/>
      <c r="U36" s="8"/>
      <c r="V36" s="8"/>
      <c r="W36" s="8"/>
      <c r="X36" s="8"/>
      <c r="Y36" s="8"/>
      <c r="Z36" s="8"/>
      <c r="AA36" s="8"/>
      <c r="AB36" s="8"/>
      <c r="AC36" s="8"/>
      <c r="AD36" s="8"/>
      <c r="AE36" s="8"/>
      <c r="AF36" s="8"/>
      <c r="AG36" s="8"/>
    </row>
    <row r="37" ht="15.75" customHeight="1">
      <c r="A37" s="9" t="s">
        <v>98</v>
      </c>
      <c r="B37" s="9" t="s">
        <v>408</v>
      </c>
      <c r="C37" s="9"/>
      <c r="D37" s="9"/>
      <c r="E37" s="8"/>
      <c r="F37" s="8"/>
      <c r="G37" s="8"/>
      <c r="H37" s="8"/>
      <c r="I37" s="8"/>
      <c r="J37" s="8"/>
      <c r="K37" s="8"/>
      <c r="L37" s="8"/>
      <c r="M37" s="8"/>
      <c r="N37" s="8"/>
      <c r="O37" s="8"/>
      <c r="P37" s="8"/>
      <c r="Q37" s="8"/>
      <c r="R37" s="8"/>
      <c r="S37" s="8"/>
      <c r="T37" s="8"/>
      <c r="U37" s="49"/>
      <c r="V37" s="8"/>
      <c r="W37" s="8"/>
      <c r="X37" s="8"/>
      <c r="Y37" s="8"/>
      <c r="Z37" s="8"/>
      <c r="AA37" s="8"/>
      <c r="AB37" s="8"/>
      <c r="AC37" s="8"/>
      <c r="AD37" s="8"/>
      <c r="AE37" s="8"/>
      <c r="AF37" s="17"/>
      <c r="AG37" s="17"/>
    </row>
    <row r="38" ht="15.75" customHeight="1">
      <c r="A38" s="9" t="s">
        <v>104</v>
      </c>
      <c r="B38" s="9">
        <v>0.006141</v>
      </c>
      <c r="C38" s="9" t="s">
        <v>236</v>
      </c>
      <c r="D38" s="9"/>
      <c r="E38" s="8"/>
      <c r="F38" s="8"/>
      <c r="G38" s="8"/>
      <c r="H38" s="8"/>
      <c r="I38" s="8"/>
      <c r="J38" s="8"/>
      <c r="K38" s="8"/>
      <c r="L38" s="8"/>
      <c r="M38" s="8"/>
      <c r="N38" s="8"/>
      <c r="O38" s="8"/>
      <c r="P38" s="8"/>
      <c r="Q38" s="8"/>
      <c r="R38" s="8"/>
      <c r="S38" s="8"/>
      <c r="T38" s="8"/>
      <c r="U38" s="49"/>
      <c r="V38" s="8"/>
      <c r="W38" s="8"/>
      <c r="X38" s="8"/>
      <c r="Y38" s="8"/>
      <c r="Z38" s="8"/>
      <c r="AA38" s="8"/>
      <c r="AB38" s="8"/>
      <c r="AC38" s="8"/>
      <c r="AD38" s="8"/>
      <c r="AE38" s="8"/>
      <c r="AF38" s="17"/>
      <c r="AG38" s="17"/>
    </row>
    <row r="39" ht="15.75" customHeight="1">
      <c r="A39" s="9" t="s">
        <v>109</v>
      </c>
      <c r="B39" s="9" t="s">
        <v>419</v>
      </c>
      <c r="C39" s="9" t="s">
        <v>147</v>
      </c>
      <c r="D39" s="9"/>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17"/>
      <c r="AG39" s="8"/>
    </row>
    <row r="40" ht="15.75" customHeight="1">
      <c r="A40" s="9" t="s">
        <v>53</v>
      </c>
      <c r="B40" s="9" t="s">
        <v>424</v>
      </c>
      <c r="C40" s="9" t="s">
        <v>147</v>
      </c>
      <c r="D40" s="9" t="s">
        <v>426</v>
      </c>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row>
    <row r="41" ht="15.75" customHeight="1">
      <c r="A41" s="9" t="s">
        <v>75</v>
      </c>
      <c r="B41" s="9" t="s">
        <v>431</v>
      </c>
      <c r="C41" s="9" t="s">
        <v>259</v>
      </c>
      <c r="D41" s="9" t="s">
        <v>432</v>
      </c>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17"/>
      <c r="AG41" s="8"/>
    </row>
    <row r="42" ht="15.75" customHeight="1">
      <c r="A42" s="9" t="s">
        <v>81</v>
      </c>
      <c r="B42" s="9" t="str">
        <f t="shared" ref="B42:B44" si="3">B41</f>
        <v>[ 12  33 33 33  ; 1.8 1.8 1.8 1.8 ; 0 0 0 0  ; 0 0 0 0  ]</v>
      </c>
      <c r="C42" s="9" t="s">
        <v>259</v>
      </c>
      <c r="D42" s="9" t="s">
        <v>432</v>
      </c>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row>
    <row r="43" ht="15.75" customHeight="1">
      <c r="A43" s="9" t="s">
        <v>85</v>
      </c>
      <c r="B43" s="9" t="str">
        <f t="shared" si="3"/>
        <v>[ 12  33 33 33  ; 1.8 1.8 1.8 1.8 ; 0 0 0 0  ; 0 0 0 0  ]</v>
      </c>
      <c r="C43" s="9" t="s">
        <v>259</v>
      </c>
      <c r="D43" s="9" t="s">
        <v>432</v>
      </c>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row>
    <row r="44" ht="15.75" customHeight="1">
      <c r="A44" s="9" t="s">
        <v>92</v>
      </c>
      <c r="B44" s="9" t="str">
        <f t="shared" si="3"/>
        <v>[ 12  33 33 33  ; 1.8 1.8 1.8 1.8 ; 0 0 0 0  ; 0 0 0 0  ]</v>
      </c>
      <c r="C44" s="9" t="s">
        <v>259</v>
      </c>
      <c r="D44" s="9" t="s">
        <v>432</v>
      </c>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row>
    <row r="45" ht="15.75" customHeight="1">
      <c r="A45" s="9" t="s">
        <v>48</v>
      </c>
      <c r="B45" s="9" t="s">
        <v>448</v>
      </c>
      <c r="C45" s="9" t="s">
        <v>119</v>
      </c>
      <c r="D45" s="9" t="s">
        <v>121</v>
      </c>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row>
    <row r="46" ht="15.75" customHeight="1">
      <c r="A46" s="9" t="s">
        <v>57</v>
      </c>
      <c r="B46" s="9">
        <v>0.385</v>
      </c>
      <c r="C46" s="50" t="s">
        <v>107</v>
      </c>
      <c r="D46" s="9" t="s">
        <v>456</v>
      </c>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row>
    <row r="47" ht="15.75" customHeight="1">
      <c r="A47" s="9" t="s">
        <v>62</v>
      </c>
      <c r="B47" s="9">
        <f>B46</f>
        <v>0.385</v>
      </c>
      <c r="C47" s="50" t="s">
        <v>107</v>
      </c>
      <c r="D47" s="9" t="s">
        <v>461</v>
      </c>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row>
    <row r="48" ht="15.75" customHeight="1">
      <c r="A48" s="9" t="s">
        <v>69</v>
      </c>
      <c r="B48" s="9">
        <v>0.481</v>
      </c>
      <c r="C48" s="50" t="s">
        <v>107</v>
      </c>
      <c r="D48" s="9" t="s">
        <v>456</v>
      </c>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row>
    <row r="49" ht="15.75" customHeight="1">
      <c r="A49" s="46" t="s">
        <v>466</v>
      </c>
      <c r="B49" s="46"/>
      <c r="C49" s="47"/>
      <c r="D49" s="46"/>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row>
    <row r="51" ht="15.75" customHeight="1">
      <c r="A51" s="46" t="s">
        <v>392</v>
      </c>
      <c r="B51" s="46" t="s">
        <v>473</v>
      </c>
      <c r="C51" s="47"/>
      <c r="D51" s="46"/>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row>
    <row r="52" ht="15.75" customHeight="1">
      <c r="A52" s="8" t="s">
        <v>60</v>
      </c>
      <c r="B52" s="48" t="s">
        <v>63</v>
      </c>
      <c r="C52" s="48" t="s">
        <v>65</v>
      </c>
      <c r="D52" s="9" t="s">
        <v>66</v>
      </c>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row>
    <row r="53" ht="15.75" customHeight="1">
      <c r="A53" s="8" t="s">
        <v>98</v>
      </c>
      <c r="B53" s="9" t="s">
        <v>483</v>
      </c>
      <c r="C53" s="9"/>
      <c r="D53" s="9"/>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row>
    <row r="54" ht="15.75" customHeight="1">
      <c r="A54" s="9" t="s">
        <v>104</v>
      </c>
      <c r="B54" s="9">
        <v>0.006141</v>
      </c>
      <c r="C54" s="9" t="s">
        <v>236</v>
      </c>
      <c r="D54" s="9"/>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row>
    <row r="55" ht="15.75" customHeight="1">
      <c r="A55" s="9" t="s">
        <v>109</v>
      </c>
      <c r="B55" s="9" t="s">
        <v>490</v>
      </c>
      <c r="C55" s="9" t="s">
        <v>147</v>
      </c>
      <c r="D55" s="9"/>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row>
    <row r="56" ht="15.75" customHeight="1">
      <c r="A56" s="9" t="s">
        <v>53</v>
      </c>
      <c r="B56" s="9" t="s">
        <v>424</v>
      </c>
      <c r="C56" s="9" t="s">
        <v>147</v>
      </c>
      <c r="D56" s="9" t="s">
        <v>426</v>
      </c>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row>
    <row r="57" ht="15.75" customHeight="1">
      <c r="A57" s="9" t="s">
        <v>75</v>
      </c>
      <c r="B57" s="9" t="s">
        <v>493</v>
      </c>
      <c r="C57" s="9" t="s">
        <v>259</v>
      </c>
      <c r="D57" s="9" t="s">
        <v>432</v>
      </c>
      <c r="E57" s="8"/>
      <c r="F57" s="8"/>
      <c r="G57" s="49"/>
      <c r="H57" s="17"/>
      <c r="I57" s="8"/>
      <c r="J57" s="8"/>
      <c r="K57" s="8"/>
      <c r="L57" s="8"/>
      <c r="M57" s="8"/>
      <c r="N57" s="8"/>
      <c r="O57" s="8"/>
      <c r="P57" s="8"/>
      <c r="Q57" s="8"/>
      <c r="R57" s="8"/>
      <c r="S57" s="8"/>
      <c r="T57" s="8"/>
      <c r="U57" s="8"/>
      <c r="V57" s="8"/>
      <c r="W57" s="8"/>
      <c r="X57" s="8"/>
      <c r="Y57" s="8"/>
      <c r="Z57" s="8"/>
      <c r="AA57" s="8"/>
      <c r="AB57" s="8"/>
      <c r="AC57" s="8"/>
      <c r="AD57" s="8"/>
      <c r="AE57" s="8"/>
      <c r="AF57" s="8"/>
      <c r="AG57" s="8"/>
    </row>
    <row r="58" ht="15.75" customHeight="1">
      <c r="A58" s="9" t="s">
        <v>81</v>
      </c>
      <c r="B58" s="9" t="s">
        <v>499</v>
      </c>
      <c r="C58" s="9" t="s">
        <v>259</v>
      </c>
      <c r="D58" s="9" t="s">
        <v>432</v>
      </c>
      <c r="E58" s="8"/>
      <c r="F58" s="36"/>
      <c r="G58" s="49"/>
      <c r="H58" s="51"/>
      <c r="I58" s="8"/>
      <c r="J58" s="8"/>
      <c r="K58" s="8"/>
      <c r="L58" s="8"/>
      <c r="M58" s="8"/>
      <c r="N58" s="8"/>
      <c r="O58" s="8"/>
      <c r="P58" s="8"/>
      <c r="Q58" s="8"/>
      <c r="R58" s="8"/>
      <c r="S58" s="8"/>
      <c r="T58" s="8"/>
      <c r="U58" s="8"/>
      <c r="V58" s="8"/>
      <c r="W58" s="8"/>
      <c r="X58" s="8"/>
      <c r="Y58" s="8"/>
      <c r="Z58" s="8"/>
      <c r="AA58" s="8"/>
      <c r="AB58" s="8"/>
      <c r="AC58" s="8"/>
      <c r="AD58" s="8"/>
      <c r="AE58" s="8"/>
      <c r="AF58" s="8"/>
      <c r="AG58" s="8"/>
    </row>
    <row r="59" ht="15.75" customHeight="1">
      <c r="A59" s="9" t="s">
        <v>85</v>
      </c>
      <c r="B59" s="9" t="s">
        <v>493</v>
      </c>
      <c r="C59" s="9" t="s">
        <v>259</v>
      </c>
      <c r="D59" s="9" t="s">
        <v>432</v>
      </c>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row>
    <row r="60" ht="15.75" customHeight="1">
      <c r="A60" s="9" t="s">
        <v>92</v>
      </c>
      <c r="B60" s="9" t="s">
        <v>499</v>
      </c>
      <c r="C60" s="9" t="s">
        <v>259</v>
      </c>
      <c r="D60" s="9" t="s">
        <v>432</v>
      </c>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row>
    <row r="61" ht="15.75" customHeight="1">
      <c r="A61" s="9" t="s">
        <v>48</v>
      </c>
      <c r="B61" s="9" t="s">
        <v>448</v>
      </c>
      <c r="C61" s="9" t="s">
        <v>119</v>
      </c>
      <c r="D61" s="9" t="s">
        <v>121</v>
      </c>
      <c r="E61" s="8"/>
      <c r="F61" s="8"/>
      <c r="G61" s="49"/>
      <c r="H61" s="8"/>
      <c r="I61" s="8"/>
      <c r="J61" s="8"/>
      <c r="K61" s="8"/>
      <c r="L61" s="8"/>
      <c r="M61" s="8"/>
      <c r="N61" s="8"/>
      <c r="O61" s="8"/>
      <c r="P61" s="8"/>
      <c r="Q61" s="8"/>
      <c r="R61" s="8"/>
      <c r="S61" s="8"/>
      <c r="T61" s="8"/>
      <c r="U61" s="8"/>
      <c r="V61" s="8"/>
      <c r="W61" s="8"/>
      <c r="X61" s="8"/>
      <c r="Y61" s="8"/>
      <c r="Z61" s="8"/>
      <c r="AA61" s="8"/>
      <c r="AB61" s="8"/>
      <c r="AC61" s="8"/>
      <c r="AD61" s="8"/>
      <c r="AE61" s="8"/>
      <c r="AF61" s="8"/>
      <c r="AG61" s="8"/>
    </row>
    <row r="62" ht="15.75" customHeight="1">
      <c r="A62" s="9" t="s">
        <v>57</v>
      </c>
      <c r="B62" s="9">
        <v>0.385</v>
      </c>
      <c r="C62" s="50" t="s">
        <v>107</v>
      </c>
      <c r="D62" s="9" t="s">
        <v>456</v>
      </c>
      <c r="E62" s="8"/>
      <c r="F62" s="36"/>
      <c r="G62" s="49"/>
      <c r="H62" s="8"/>
      <c r="I62" s="8"/>
      <c r="J62" s="8"/>
      <c r="K62" s="8"/>
      <c r="L62" s="8"/>
      <c r="M62" s="8"/>
      <c r="N62" s="8"/>
      <c r="O62" s="8"/>
      <c r="P62" s="8"/>
      <c r="Q62" s="8"/>
      <c r="R62" s="8"/>
      <c r="S62" s="8"/>
      <c r="T62" s="8"/>
      <c r="U62" s="8"/>
      <c r="V62" s="8"/>
      <c r="W62" s="8"/>
      <c r="X62" s="8"/>
      <c r="Y62" s="8"/>
      <c r="Z62" s="8"/>
      <c r="AA62" s="8"/>
      <c r="AB62" s="8"/>
      <c r="AC62" s="8"/>
      <c r="AD62" s="8"/>
      <c r="AE62" s="8"/>
      <c r="AF62" s="8"/>
      <c r="AG62" s="8"/>
    </row>
    <row r="63" ht="15.75" customHeight="1">
      <c r="A63" s="9" t="s">
        <v>62</v>
      </c>
      <c r="B63" s="9">
        <f>B62</f>
        <v>0.385</v>
      </c>
      <c r="C63" s="50" t="s">
        <v>107</v>
      </c>
      <c r="D63" s="9" t="s">
        <v>461</v>
      </c>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row>
    <row r="64" ht="15.75" customHeight="1">
      <c r="A64" s="9" t="s">
        <v>69</v>
      </c>
      <c r="B64" s="9">
        <v>0.481</v>
      </c>
      <c r="C64" s="50" t="s">
        <v>107</v>
      </c>
      <c r="D64" s="9" t="s">
        <v>456</v>
      </c>
      <c r="E64" s="8"/>
      <c r="F64" s="8"/>
      <c r="G64" s="49"/>
      <c r="H64" s="8"/>
      <c r="I64" s="8"/>
      <c r="J64" s="8"/>
      <c r="K64" s="8"/>
      <c r="L64" s="8"/>
      <c r="M64" s="8"/>
      <c r="N64" s="8"/>
      <c r="O64" s="8"/>
      <c r="P64" s="8"/>
      <c r="Q64" s="8"/>
      <c r="R64" s="8"/>
      <c r="S64" s="8"/>
      <c r="T64" s="8"/>
      <c r="U64" s="8"/>
      <c r="V64" s="8"/>
      <c r="W64" s="8"/>
      <c r="X64" s="8"/>
      <c r="Y64" s="8"/>
      <c r="Z64" s="8"/>
      <c r="AA64" s="8"/>
      <c r="AB64" s="8"/>
      <c r="AC64" s="8"/>
      <c r="AD64" s="8"/>
      <c r="AE64" s="8"/>
      <c r="AF64" s="8"/>
      <c r="AG64" s="8"/>
    </row>
    <row r="65" ht="15.75" customHeight="1">
      <c r="A65" s="46" t="s">
        <v>466</v>
      </c>
      <c r="B65" s="46"/>
      <c r="C65" s="47"/>
      <c r="D65" s="46"/>
      <c r="E65" s="8"/>
      <c r="F65" s="36"/>
      <c r="G65" s="49"/>
      <c r="H65" s="8"/>
      <c r="I65" s="8"/>
      <c r="J65" s="8"/>
      <c r="K65" s="8"/>
      <c r="L65" s="8"/>
      <c r="M65" s="8"/>
      <c r="N65" s="8"/>
      <c r="O65" s="8"/>
      <c r="P65" s="8"/>
      <c r="Q65" s="8"/>
      <c r="R65" s="8"/>
      <c r="S65" s="8"/>
      <c r="T65" s="8"/>
      <c r="U65" s="8"/>
      <c r="V65" s="8"/>
      <c r="W65" s="8"/>
      <c r="X65" s="8"/>
      <c r="Y65" s="8"/>
      <c r="Z65" s="8"/>
      <c r="AA65" s="8"/>
      <c r="AB65" s="8"/>
      <c r="AC65" s="8"/>
      <c r="AD65" s="8"/>
      <c r="AE65" s="8"/>
      <c r="AF65" s="8"/>
      <c r="AG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row>
    <row r="67" ht="15.75" customHeight="1">
      <c r="A67" s="52" t="s">
        <v>392</v>
      </c>
      <c r="B67" s="52" t="s">
        <v>541</v>
      </c>
      <c r="C67" s="53"/>
      <c r="D67" s="52"/>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row>
    <row r="68" ht="15.75" customHeight="1">
      <c r="A68" s="8" t="s">
        <v>60</v>
      </c>
      <c r="B68" s="48" t="s">
        <v>63</v>
      </c>
      <c r="C68" s="48" t="s">
        <v>65</v>
      </c>
      <c r="D68" s="9" t="s">
        <v>66</v>
      </c>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row>
    <row r="69" ht="15.75" customHeight="1">
      <c r="A69" s="9" t="s">
        <v>98</v>
      </c>
      <c r="B69" s="54" t="s">
        <v>408</v>
      </c>
      <c r="C69" s="9"/>
      <c r="D69" s="9"/>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row>
    <row r="70" ht="15.75" customHeight="1">
      <c r="A70" s="9" t="s">
        <v>104</v>
      </c>
      <c r="B70" s="54">
        <v>0.006141</v>
      </c>
      <c r="C70" s="9" t="s">
        <v>236</v>
      </c>
      <c r="D70" s="9"/>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row>
    <row r="71" ht="15.75" customHeight="1">
      <c r="A71" s="9" t="s">
        <v>109</v>
      </c>
      <c r="B71" s="54" t="s">
        <v>419</v>
      </c>
      <c r="C71" s="9" t="s">
        <v>147</v>
      </c>
      <c r="D71" s="9"/>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row>
    <row r="72" ht="15.75" customHeight="1">
      <c r="A72" s="9" t="s">
        <v>53</v>
      </c>
      <c r="B72" s="54" t="s">
        <v>575</v>
      </c>
      <c r="C72" s="9" t="s">
        <v>147</v>
      </c>
      <c r="D72" s="9" t="s">
        <v>426</v>
      </c>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row>
    <row r="73" ht="15.75" customHeight="1">
      <c r="A73" s="9" t="s">
        <v>75</v>
      </c>
      <c r="B73" s="54" t="s">
        <v>583</v>
      </c>
      <c r="C73" s="9" t="s">
        <v>259</v>
      </c>
      <c r="D73" s="9" t="s">
        <v>432</v>
      </c>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row>
    <row r="74" ht="15.75" customHeight="1">
      <c r="A74" s="9" t="s">
        <v>81</v>
      </c>
      <c r="B74" s="54" t="str">
        <f t="shared" ref="B74:B76" si="4">B73</f>
        <v>[8 8 8 8   ;  0 0 0 0  ; 0 0 0 0  ; 0 0 0 0  ]</v>
      </c>
      <c r="C74" s="9" t="s">
        <v>259</v>
      </c>
      <c r="D74" s="9" t="s">
        <v>432</v>
      </c>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row>
    <row r="75" ht="15.75" customHeight="1">
      <c r="A75" s="9" t="s">
        <v>85</v>
      </c>
      <c r="B75" s="54" t="str">
        <f t="shared" si="4"/>
        <v>[8 8 8 8   ;  0 0 0 0  ; 0 0 0 0  ; 0 0 0 0  ]</v>
      </c>
      <c r="C75" s="9" t="s">
        <v>259</v>
      </c>
      <c r="D75" s="9" t="s">
        <v>432</v>
      </c>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row>
    <row r="76" ht="15.75" customHeight="1">
      <c r="A76" s="9" t="s">
        <v>92</v>
      </c>
      <c r="B76" s="54" t="str">
        <f t="shared" si="4"/>
        <v>[8 8 8 8   ;  0 0 0 0  ; 0 0 0 0  ; 0 0 0 0  ]</v>
      </c>
      <c r="C76" s="9" t="s">
        <v>259</v>
      </c>
      <c r="D76" s="9" t="s">
        <v>432</v>
      </c>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row>
    <row r="77" ht="15.75" customHeight="1">
      <c r="A77" s="9" t="s">
        <v>48</v>
      </c>
      <c r="B77" s="54" t="s">
        <v>448</v>
      </c>
      <c r="C77" s="9" t="s">
        <v>119</v>
      </c>
      <c r="D77" s="9" t="s">
        <v>121</v>
      </c>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row>
    <row r="78" ht="15.75" customHeight="1">
      <c r="A78" s="9" t="s">
        <v>57</v>
      </c>
      <c r="B78" s="9">
        <v>0.385</v>
      </c>
      <c r="C78" s="50" t="s">
        <v>107</v>
      </c>
      <c r="D78" s="9" t="s">
        <v>456</v>
      </c>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row>
    <row r="79" ht="15.75" customHeight="1">
      <c r="A79" s="9" t="s">
        <v>62</v>
      </c>
      <c r="B79" s="9">
        <f>B78</f>
        <v>0.385</v>
      </c>
      <c r="C79" s="50" t="s">
        <v>107</v>
      </c>
      <c r="D79" s="9" t="s">
        <v>461</v>
      </c>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row>
    <row r="80" ht="15.75" customHeight="1">
      <c r="A80" s="9" t="s">
        <v>69</v>
      </c>
      <c r="B80" s="9">
        <v>0.481</v>
      </c>
      <c r="C80" s="50" t="s">
        <v>107</v>
      </c>
      <c r="D80" s="9" t="s">
        <v>456</v>
      </c>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row>
    <row r="81" ht="15.75" customHeight="1">
      <c r="A81" s="52" t="s">
        <v>466</v>
      </c>
      <c r="B81" s="52"/>
      <c r="C81" s="53"/>
      <c r="D81" s="52"/>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row>
    <row r="83" ht="15.75" customHeight="1">
      <c r="A83" s="52" t="s">
        <v>392</v>
      </c>
      <c r="B83" s="52" t="s">
        <v>674</v>
      </c>
      <c r="C83" s="53"/>
      <c r="D83" s="52"/>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row>
    <row r="84" ht="15.75" customHeight="1">
      <c r="A84" s="8" t="s">
        <v>60</v>
      </c>
      <c r="B84" s="48" t="s">
        <v>63</v>
      </c>
      <c r="C84" s="48" t="s">
        <v>65</v>
      </c>
      <c r="D84" s="9" t="s">
        <v>66</v>
      </c>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row>
    <row r="85" ht="15.75" customHeight="1">
      <c r="A85" s="9" t="s">
        <v>98</v>
      </c>
      <c r="B85" s="54" t="s">
        <v>689</v>
      </c>
      <c r="C85" s="9"/>
      <c r="D85" s="9"/>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row>
    <row r="86" ht="15.75" customHeight="1">
      <c r="A86" s="9" t="s">
        <v>104</v>
      </c>
      <c r="B86" s="54">
        <v>0.006141</v>
      </c>
      <c r="C86" s="9" t="s">
        <v>236</v>
      </c>
      <c r="D86" s="9"/>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row>
    <row r="87" ht="15.75" customHeight="1">
      <c r="A87" s="9" t="s">
        <v>109</v>
      </c>
      <c r="B87" s="54" t="s">
        <v>701</v>
      </c>
      <c r="C87" s="9" t="s">
        <v>147</v>
      </c>
      <c r="D87" s="9"/>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row>
    <row r="88" ht="15.75" customHeight="1">
      <c r="A88" s="9" t="s">
        <v>53</v>
      </c>
      <c r="B88" s="54" t="s">
        <v>575</v>
      </c>
      <c r="C88" s="9" t="s">
        <v>147</v>
      </c>
      <c r="D88" s="9" t="s">
        <v>426</v>
      </c>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row>
    <row r="89" ht="15.75" customHeight="1">
      <c r="A89" s="9" t="s">
        <v>75</v>
      </c>
      <c r="B89" s="54" t="s">
        <v>716</v>
      </c>
      <c r="C89" s="9" t="s">
        <v>259</v>
      </c>
      <c r="D89" s="9" t="s">
        <v>432</v>
      </c>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row>
    <row r="90" ht="15.75" customHeight="1">
      <c r="A90" s="9" t="s">
        <v>81</v>
      </c>
      <c r="B90" s="54" t="s">
        <v>716</v>
      </c>
      <c r="C90" s="9" t="s">
        <v>259</v>
      </c>
      <c r="D90" s="9" t="s">
        <v>432</v>
      </c>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row>
    <row r="91" ht="15.75" customHeight="1">
      <c r="A91" s="9" t="s">
        <v>85</v>
      </c>
      <c r="B91" s="54" t="s">
        <v>716</v>
      </c>
      <c r="C91" s="9" t="s">
        <v>259</v>
      </c>
      <c r="D91" s="9" t="s">
        <v>432</v>
      </c>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row>
    <row r="92" ht="15.75" customHeight="1">
      <c r="A92" s="9" t="s">
        <v>92</v>
      </c>
      <c r="B92" s="54" t="s">
        <v>716</v>
      </c>
      <c r="C92" s="9" t="s">
        <v>259</v>
      </c>
      <c r="D92" s="9" t="s">
        <v>432</v>
      </c>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row>
    <row r="93" ht="15.75" customHeight="1">
      <c r="A93" s="9" t="s">
        <v>48</v>
      </c>
      <c r="B93" s="54" t="s">
        <v>737</v>
      </c>
      <c r="C93" s="9" t="s">
        <v>119</v>
      </c>
      <c r="D93" s="9" t="s">
        <v>121</v>
      </c>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row>
    <row r="94" ht="15.75" customHeight="1">
      <c r="A94" s="9" t="s">
        <v>57</v>
      </c>
      <c r="B94" s="9">
        <v>0.5</v>
      </c>
      <c r="C94" s="50" t="s">
        <v>107</v>
      </c>
      <c r="D94" s="9" t="s">
        <v>456</v>
      </c>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row>
    <row r="95" ht="15.75" customHeight="1">
      <c r="A95" s="9" t="s">
        <v>62</v>
      </c>
      <c r="B95" s="9">
        <f>B94</f>
        <v>0.5</v>
      </c>
      <c r="C95" s="50" t="s">
        <v>107</v>
      </c>
      <c r="D95" s="9" t="s">
        <v>456</v>
      </c>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row>
    <row r="96" ht="15.75" customHeight="1">
      <c r="A96" s="9" t="s">
        <v>69</v>
      </c>
      <c r="B96" s="50">
        <v>0.5</v>
      </c>
      <c r="C96" s="9" t="s">
        <v>107</v>
      </c>
      <c r="D96" s="9"/>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row>
    <row r="97" ht="15.75" customHeight="1">
      <c r="A97" s="52" t="s">
        <v>466</v>
      </c>
      <c r="B97" s="52"/>
      <c r="C97" s="53"/>
      <c r="D97" s="52"/>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row>
  </sheetData>
  <mergeCells count="10">
    <mergeCell ref="J15:M15"/>
    <mergeCell ref="J22:M22"/>
    <mergeCell ref="F25:G25"/>
    <mergeCell ref="A1:D1"/>
    <mergeCell ref="F1:H1"/>
    <mergeCell ref="J1:L1"/>
    <mergeCell ref="O2:Q2"/>
    <mergeCell ref="O5:Q5"/>
    <mergeCell ref="F11:H11"/>
    <mergeCell ref="A14:D14"/>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22</v>
      </c>
    </row>
    <row r="2">
      <c r="A2" s="2" t="s">
        <v>28</v>
      </c>
    </row>
    <row r="3">
      <c r="A3" s="2" t="s">
        <v>29</v>
      </c>
    </row>
    <row r="4">
      <c r="A4" s="2" t="s">
        <v>30</v>
      </c>
    </row>
    <row r="5">
      <c r="A5" s="2" t="s">
        <v>31</v>
      </c>
    </row>
    <row r="6">
      <c r="A6" s="2" t="s">
        <v>32</v>
      </c>
    </row>
    <row r="7">
      <c r="A7" s="2" t="s">
        <v>33</v>
      </c>
    </row>
    <row r="8">
      <c r="A8" s="2" t="s">
        <v>34</v>
      </c>
    </row>
    <row r="9">
      <c r="A9" s="2" t="s">
        <v>35</v>
      </c>
    </row>
    <row r="10">
      <c r="A10" s="2"/>
    </row>
    <row r="11">
      <c r="A11" s="2"/>
    </row>
    <row r="12">
      <c r="A12" s="2"/>
    </row>
    <row r="13">
      <c r="A13" s="2"/>
    </row>
    <row r="14">
      <c r="A14" s="2"/>
    </row>
    <row r="15">
      <c r="A15" s="2"/>
    </row>
    <row r="16">
      <c r="A16"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3" t="s">
        <v>36</v>
      </c>
      <c r="B1" s="3" t="s">
        <v>38</v>
      </c>
      <c r="C1" s="3" t="s">
        <v>39</v>
      </c>
      <c r="D1" s="3" t="s">
        <v>40</v>
      </c>
      <c r="E1" s="3"/>
      <c r="F1" s="3"/>
      <c r="G1" s="3"/>
      <c r="H1" s="3"/>
      <c r="I1" s="3"/>
      <c r="J1" s="3"/>
      <c r="K1" s="3"/>
      <c r="L1" s="3"/>
      <c r="M1" s="3"/>
      <c r="N1" s="3"/>
      <c r="O1" s="3"/>
      <c r="P1" s="3"/>
      <c r="Q1" s="3"/>
      <c r="R1" s="3"/>
      <c r="S1" s="3"/>
      <c r="T1" s="3"/>
      <c r="U1" s="3"/>
      <c r="V1" s="3"/>
      <c r="W1" s="3"/>
      <c r="X1" s="3"/>
      <c r="Y1" s="3"/>
      <c r="Z1" s="3"/>
    </row>
    <row r="2">
      <c r="A2" s="3" t="s">
        <v>42</v>
      </c>
      <c r="B2" s="3" t="s">
        <v>43</v>
      </c>
      <c r="C2" s="3" t="s">
        <v>44</v>
      </c>
      <c r="D2" s="3" t="s">
        <v>45</v>
      </c>
      <c r="E2" s="3"/>
      <c r="F2" s="3"/>
      <c r="G2" s="3"/>
      <c r="H2" s="3"/>
      <c r="I2" s="3"/>
      <c r="J2" s="3"/>
      <c r="K2" s="3"/>
      <c r="L2" s="3"/>
      <c r="M2" s="3"/>
      <c r="N2" s="3"/>
      <c r="O2" s="3"/>
      <c r="P2" s="3"/>
      <c r="Q2" s="3"/>
      <c r="R2" s="3"/>
      <c r="S2" s="3"/>
      <c r="T2" s="3"/>
      <c r="U2" s="3"/>
      <c r="V2" s="3"/>
      <c r="W2" s="3"/>
      <c r="X2" s="3"/>
      <c r="Y2" s="3"/>
      <c r="Z2" s="3"/>
    </row>
    <row r="3">
      <c r="A3" s="3" t="s">
        <v>47</v>
      </c>
      <c r="B3" s="3" t="s">
        <v>48</v>
      </c>
      <c r="C3" s="3" t="s">
        <v>49</v>
      </c>
      <c r="D3" s="3" t="s">
        <v>50</v>
      </c>
      <c r="E3" s="3"/>
      <c r="F3" s="3"/>
      <c r="G3" s="3"/>
      <c r="H3" s="3"/>
      <c r="I3" s="3"/>
      <c r="J3" s="3"/>
      <c r="K3" s="3"/>
      <c r="L3" s="3"/>
      <c r="M3" s="3"/>
      <c r="N3" s="3"/>
      <c r="O3" s="3"/>
      <c r="P3" s="3"/>
      <c r="Q3" s="3"/>
      <c r="R3" s="3"/>
      <c r="S3" s="3"/>
      <c r="T3" s="3"/>
      <c r="U3" s="3"/>
      <c r="V3" s="3"/>
      <c r="W3" s="3"/>
      <c r="X3" s="3"/>
      <c r="Y3" s="3"/>
      <c r="Z3" s="3"/>
    </row>
    <row r="4">
      <c r="A4" s="3" t="s">
        <v>52</v>
      </c>
      <c r="B4" s="3" t="s">
        <v>53</v>
      </c>
      <c r="C4" s="3" t="s">
        <v>54</v>
      </c>
      <c r="D4" s="3" t="s">
        <v>55</v>
      </c>
      <c r="E4" s="3"/>
      <c r="F4" s="3"/>
      <c r="G4" s="3"/>
      <c r="H4" s="3"/>
      <c r="I4" s="3"/>
      <c r="J4" s="3"/>
      <c r="K4" s="3"/>
      <c r="L4" s="3"/>
      <c r="M4" s="3"/>
      <c r="N4" s="3"/>
      <c r="O4" s="3"/>
      <c r="P4" s="3"/>
      <c r="Q4" s="3"/>
      <c r="R4" s="3"/>
      <c r="S4" s="3"/>
      <c r="T4" s="3"/>
      <c r="U4" s="3"/>
      <c r="V4" s="3"/>
      <c r="W4" s="3"/>
      <c r="X4" s="3"/>
      <c r="Y4" s="3"/>
      <c r="Z4" s="3"/>
    </row>
    <row r="5">
      <c r="A5" s="3" t="s">
        <v>56</v>
      </c>
      <c r="B5" s="3" t="s">
        <v>57</v>
      </c>
      <c r="C5" s="3" t="s">
        <v>58</v>
      </c>
      <c r="D5" s="3" t="s">
        <v>59</v>
      </c>
      <c r="E5" s="3"/>
      <c r="F5" s="3"/>
      <c r="G5" s="3"/>
      <c r="H5" s="3"/>
      <c r="I5" s="3"/>
      <c r="J5" s="3"/>
      <c r="K5" s="3"/>
      <c r="L5" s="3"/>
      <c r="M5" s="3"/>
      <c r="N5" s="3"/>
      <c r="O5" s="3"/>
      <c r="P5" s="3"/>
      <c r="Q5" s="3"/>
      <c r="R5" s="3"/>
      <c r="S5" s="3"/>
      <c r="T5" s="3"/>
      <c r="U5" s="3"/>
      <c r="V5" s="3"/>
      <c r="W5" s="3"/>
      <c r="X5" s="3"/>
      <c r="Y5" s="3"/>
      <c r="Z5" s="3"/>
    </row>
    <row r="6">
      <c r="A6" s="3" t="s">
        <v>61</v>
      </c>
      <c r="B6" s="3" t="s">
        <v>62</v>
      </c>
      <c r="C6" s="3" t="s">
        <v>58</v>
      </c>
      <c r="D6" s="3" t="s">
        <v>64</v>
      </c>
      <c r="E6" s="3"/>
      <c r="F6" s="3"/>
      <c r="G6" s="3"/>
      <c r="H6" s="3"/>
      <c r="I6" s="3"/>
      <c r="J6" s="3"/>
      <c r="K6" s="3"/>
      <c r="L6" s="3"/>
      <c r="M6" s="3"/>
      <c r="N6" s="3"/>
      <c r="O6" s="3"/>
      <c r="P6" s="3"/>
      <c r="Q6" s="3"/>
      <c r="R6" s="3"/>
      <c r="S6" s="3"/>
      <c r="T6" s="3"/>
      <c r="U6" s="3"/>
      <c r="V6" s="3"/>
      <c r="W6" s="3"/>
      <c r="X6" s="3"/>
      <c r="Y6" s="3"/>
      <c r="Z6" s="3"/>
    </row>
    <row r="7">
      <c r="A7" s="3" t="s">
        <v>68</v>
      </c>
      <c r="B7" s="3" t="s">
        <v>69</v>
      </c>
      <c r="C7" s="3" t="s">
        <v>70</v>
      </c>
      <c r="D7" s="3" t="s">
        <v>71</v>
      </c>
      <c r="E7" s="3"/>
      <c r="F7" s="3"/>
      <c r="G7" s="3"/>
      <c r="H7" s="3"/>
      <c r="I7" s="3"/>
      <c r="J7" s="3"/>
      <c r="K7" s="3"/>
      <c r="L7" s="3"/>
      <c r="M7" s="3"/>
      <c r="N7" s="3"/>
      <c r="O7" s="3"/>
      <c r="P7" s="3"/>
      <c r="Q7" s="3"/>
      <c r="R7" s="3"/>
      <c r="S7" s="3"/>
      <c r="T7" s="3"/>
      <c r="U7" s="3"/>
      <c r="V7" s="3"/>
      <c r="W7" s="3"/>
      <c r="X7" s="3"/>
      <c r="Y7" s="3"/>
      <c r="Z7" s="3"/>
    </row>
    <row r="8">
      <c r="A8" s="3" t="s">
        <v>74</v>
      </c>
      <c r="B8" s="3" t="s">
        <v>75</v>
      </c>
      <c r="C8" s="3" t="s">
        <v>76</v>
      </c>
      <c r="D8" s="3" t="s">
        <v>77</v>
      </c>
      <c r="E8" s="3"/>
      <c r="F8" s="3"/>
      <c r="G8" s="3"/>
      <c r="H8" s="3"/>
      <c r="I8" s="3"/>
      <c r="J8" s="3"/>
      <c r="K8" s="3"/>
      <c r="L8" s="3"/>
      <c r="M8" s="3"/>
      <c r="N8" s="3"/>
      <c r="O8" s="3"/>
      <c r="P8" s="3"/>
      <c r="Q8" s="3"/>
      <c r="R8" s="3"/>
      <c r="S8" s="3"/>
      <c r="T8" s="3"/>
      <c r="U8" s="3"/>
      <c r="V8" s="3"/>
      <c r="W8" s="3"/>
      <c r="X8" s="3"/>
      <c r="Y8" s="3"/>
      <c r="Z8" s="3"/>
    </row>
    <row r="9">
      <c r="A9" s="3" t="s">
        <v>80</v>
      </c>
      <c r="B9" s="3" t="s">
        <v>81</v>
      </c>
      <c r="C9" s="3" t="s">
        <v>76</v>
      </c>
      <c r="D9" s="3" t="s">
        <v>82</v>
      </c>
      <c r="E9" s="3"/>
      <c r="F9" s="3"/>
      <c r="G9" s="3"/>
      <c r="H9" s="3"/>
      <c r="I9" s="3"/>
      <c r="J9" s="3"/>
      <c r="K9" s="3"/>
      <c r="L9" s="3"/>
      <c r="M9" s="3"/>
      <c r="N9" s="3"/>
      <c r="O9" s="3"/>
      <c r="P9" s="3"/>
      <c r="Q9" s="3"/>
      <c r="R9" s="3"/>
      <c r="S9" s="3"/>
      <c r="T9" s="3"/>
      <c r="U9" s="3"/>
      <c r="V9" s="3"/>
      <c r="W9" s="3"/>
      <c r="X9" s="3"/>
      <c r="Y9" s="3"/>
      <c r="Z9" s="3"/>
    </row>
    <row r="10">
      <c r="A10" s="3" t="s">
        <v>84</v>
      </c>
      <c r="B10" s="3" t="s">
        <v>85</v>
      </c>
      <c r="C10" s="3" t="s">
        <v>76</v>
      </c>
      <c r="D10" s="3" t="s">
        <v>87</v>
      </c>
      <c r="E10" s="3"/>
      <c r="F10" s="3"/>
      <c r="G10" s="3"/>
      <c r="H10" s="3"/>
      <c r="I10" s="3"/>
      <c r="J10" s="3"/>
      <c r="K10" s="3"/>
      <c r="L10" s="3"/>
      <c r="M10" s="3"/>
      <c r="N10" s="3"/>
      <c r="O10" s="3"/>
      <c r="P10" s="3"/>
      <c r="Q10" s="3"/>
      <c r="R10" s="3"/>
      <c r="S10" s="3"/>
      <c r="T10" s="3"/>
      <c r="U10" s="3"/>
      <c r="V10" s="3"/>
      <c r="W10" s="3"/>
      <c r="X10" s="3"/>
      <c r="Y10" s="3"/>
      <c r="Z10" s="3"/>
    </row>
    <row r="11">
      <c r="A11" s="3" t="s">
        <v>91</v>
      </c>
      <c r="B11" s="3" t="s">
        <v>92</v>
      </c>
      <c r="C11" s="3" t="s">
        <v>76</v>
      </c>
      <c r="D11" s="3" t="s">
        <v>94</v>
      </c>
      <c r="E11" s="3"/>
      <c r="F11" s="3"/>
      <c r="G11" s="3"/>
      <c r="H11" s="3"/>
      <c r="I11" s="3"/>
      <c r="J11" s="3"/>
      <c r="K11" s="3"/>
      <c r="L11" s="3"/>
      <c r="M11" s="3"/>
      <c r="N11" s="3"/>
      <c r="O11" s="3"/>
      <c r="P11" s="3"/>
      <c r="Q11" s="3"/>
      <c r="R11" s="3"/>
      <c r="S11" s="3"/>
      <c r="T11" s="3"/>
      <c r="U11" s="3"/>
      <c r="V11" s="3"/>
      <c r="W11" s="3"/>
      <c r="X11" s="3"/>
      <c r="Y11" s="3"/>
      <c r="Z11" s="3"/>
    </row>
    <row r="12">
      <c r="A12" s="3" t="s">
        <v>96</v>
      </c>
      <c r="B12" s="3" t="s">
        <v>98</v>
      </c>
      <c r="C12" s="3" t="s">
        <v>99</v>
      </c>
      <c r="D12" s="3" t="s">
        <v>101</v>
      </c>
      <c r="E12" s="3"/>
      <c r="F12" s="3"/>
      <c r="G12" s="3"/>
      <c r="H12" s="3"/>
      <c r="I12" s="3"/>
      <c r="J12" s="3"/>
      <c r="K12" s="3"/>
      <c r="L12" s="3"/>
      <c r="M12" s="3"/>
      <c r="N12" s="3"/>
      <c r="O12" s="3"/>
      <c r="P12" s="3"/>
      <c r="Q12" s="3"/>
      <c r="R12" s="3"/>
      <c r="S12" s="3"/>
      <c r="T12" s="3"/>
      <c r="U12" s="3"/>
      <c r="V12" s="3"/>
      <c r="W12" s="3"/>
      <c r="X12" s="3"/>
      <c r="Y12" s="3"/>
      <c r="Z12" s="3"/>
    </row>
    <row r="13">
      <c r="A13" s="3" t="s">
        <v>103</v>
      </c>
      <c r="B13" s="3" t="s">
        <v>104</v>
      </c>
      <c r="C13" s="3">
        <v>0.006141</v>
      </c>
      <c r="D13" s="3" t="s">
        <v>106</v>
      </c>
      <c r="E13" s="3"/>
      <c r="F13" s="3"/>
      <c r="G13" s="3"/>
      <c r="H13" s="3"/>
      <c r="I13" s="3"/>
      <c r="J13" s="3"/>
      <c r="K13" s="3"/>
      <c r="L13" s="3"/>
      <c r="M13" s="3"/>
      <c r="N13" s="3"/>
      <c r="O13" s="3"/>
      <c r="P13" s="3"/>
      <c r="Q13" s="3"/>
      <c r="R13" s="3"/>
      <c r="S13" s="3"/>
      <c r="T13" s="3"/>
      <c r="U13" s="3"/>
      <c r="V13" s="3"/>
      <c r="W13" s="3"/>
      <c r="X13" s="3"/>
      <c r="Y13" s="3"/>
      <c r="Z13" s="3"/>
    </row>
    <row r="14">
      <c r="A14" s="3" t="s">
        <v>108</v>
      </c>
      <c r="B14" s="3" t="s">
        <v>109</v>
      </c>
      <c r="C14" s="3">
        <v>78.2</v>
      </c>
      <c r="D14" s="3" t="s">
        <v>110</v>
      </c>
      <c r="E14" s="3"/>
      <c r="F14" s="3"/>
      <c r="G14" s="3"/>
      <c r="H14" s="3"/>
      <c r="I14" s="3"/>
      <c r="J14" s="3"/>
      <c r="K14" s="3"/>
      <c r="L14" s="3"/>
      <c r="M14" s="3"/>
      <c r="N14" s="3"/>
      <c r="O14" s="3"/>
      <c r="P14" s="3"/>
      <c r="Q14" s="3"/>
      <c r="R14" s="3"/>
      <c r="S14" s="3"/>
      <c r="T14" s="3"/>
      <c r="U14" s="3"/>
      <c r="V14" s="3"/>
      <c r="W14" s="3"/>
      <c r="X14" s="3"/>
      <c r="Y14" s="3"/>
      <c r="Z14" s="3"/>
    </row>
    <row r="15">
      <c r="A15" s="3" t="s">
        <v>47</v>
      </c>
      <c r="B15" s="3" t="s">
        <v>48</v>
      </c>
      <c r="C15" s="3" t="s">
        <v>49</v>
      </c>
      <c r="D15" s="3" t="s">
        <v>50</v>
      </c>
      <c r="E15" s="3"/>
      <c r="F15" s="3"/>
      <c r="G15" s="3"/>
      <c r="H15" s="3"/>
      <c r="I15" s="3"/>
      <c r="J15" s="3"/>
      <c r="K15" s="3"/>
      <c r="L15" s="3"/>
      <c r="M15" s="3"/>
      <c r="N15" s="3"/>
      <c r="O15" s="3"/>
      <c r="P15" s="3"/>
      <c r="Q15" s="3"/>
      <c r="R15" s="3"/>
      <c r="S15" s="3"/>
      <c r="T15" s="3"/>
      <c r="U15" s="3"/>
      <c r="V15" s="3"/>
      <c r="W15" s="3"/>
      <c r="X15" s="3"/>
      <c r="Y15" s="3"/>
      <c r="Z15" s="3"/>
    </row>
    <row r="16">
      <c r="A16" s="3" t="s">
        <v>52</v>
      </c>
      <c r="B16" s="3" t="s">
        <v>53</v>
      </c>
      <c r="C16" s="3" t="s">
        <v>54</v>
      </c>
      <c r="D16" s="3" t="s">
        <v>55</v>
      </c>
      <c r="E16" s="3"/>
      <c r="F16" s="3"/>
      <c r="G16" s="3"/>
      <c r="H16" s="3"/>
      <c r="I16" s="3"/>
      <c r="J16" s="3"/>
      <c r="K16" s="3"/>
      <c r="L16" s="3"/>
      <c r="M16" s="3"/>
      <c r="N16" s="3"/>
      <c r="O16" s="3"/>
      <c r="P16" s="3"/>
      <c r="Q16" s="3"/>
      <c r="R16" s="3"/>
      <c r="S16" s="3"/>
      <c r="T16" s="3"/>
      <c r="U16" s="3"/>
      <c r="V16" s="3"/>
      <c r="W16" s="3"/>
      <c r="X16" s="3"/>
      <c r="Y16" s="3"/>
      <c r="Z16" s="3"/>
    </row>
    <row r="17">
      <c r="A17" s="3" t="s">
        <v>56</v>
      </c>
      <c r="B17" s="3" t="s">
        <v>57</v>
      </c>
      <c r="C17" s="3" t="s">
        <v>120</v>
      </c>
      <c r="D17" s="3" t="s">
        <v>59</v>
      </c>
      <c r="E17" s="3"/>
      <c r="F17" s="3"/>
      <c r="G17" s="3"/>
      <c r="H17" s="3"/>
      <c r="I17" s="3"/>
      <c r="J17" s="3"/>
      <c r="K17" s="3"/>
      <c r="L17" s="3"/>
      <c r="M17" s="3"/>
      <c r="N17" s="3"/>
      <c r="O17" s="3"/>
      <c r="P17" s="3"/>
      <c r="Q17" s="3"/>
      <c r="R17" s="3"/>
      <c r="S17" s="3"/>
      <c r="T17" s="3"/>
      <c r="U17" s="3"/>
      <c r="V17" s="3"/>
      <c r="W17" s="3"/>
      <c r="X17" s="3"/>
      <c r="Y17" s="3"/>
      <c r="Z17" s="3"/>
    </row>
    <row r="18">
      <c r="A18" s="3" t="s">
        <v>61</v>
      </c>
      <c r="B18" s="3" t="s">
        <v>62</v>
      </c>
      <c r="C18" s="3" t="s">
        <v>120</v>
      </c>
      <c r="D18" s="3" t="s">
        <v>64</v>
      </c>
      <c r="E18" s="3"/>
      <c r="F18" s="3"/>
      <c r="G18" s="3"/>
      <c r="H18" s="3"/>
      <c r="I18" s="3"/>
      <c r="J18" s="3"/>
      <c r="K18" s="3"/>
      <c r="L18" s="3"/>
      <c r="M18" s="3"/>
      <c r="N18" s="3"/>
      <c r="O18" s="3"/>
      <c r="P18" s="3"/>
      <c r="Q18" s="3"/>
      <c r="R18" s="3"/>
      <c r="S18" s="3"/>
      <c r="T18" s="3"/>
      <c r="U18" s="3"/>
      <c r="V18" s="3"/>
      <c r="W18" s="3"/>
      <c r="X18" s="3"/>
      <c r="Y18" s="3"/>
      <c r="Z18" s="3"/>
    </row>
    <row r="19">
      <c r="A19" s="3" t="s">
        <v>68</v>
      </c>
      <c r="B19" s="3" t="s">
        <v>69</v>
      </c>
      <c r="C19" s="3" t="s">
        <v>70</v>
      </c>
      <c r="D19" s="3" t="s">
        <v>71</v>
      </c>
      <c r="E19" s="3"/>
      <c r="F19" s="3"/>
      <c r="G19" s="3"/>
      <c r="H19" s="3"/>
      <c r="I19" s="3"/>
      <c r="J19" s="3"/>
      <c r="K19" s="3"/>
      <c r="L19" s="3"/>
      <c r="M19" s="3"/>
      <c r="N19" s="3"/>
      <c r="O19" s="3"/>
      <c r="P19" s="3"/>
      <c r="Q19" s="3"/>
      <c r="R19" s="3"/>
      <c r="S19" s="3"/>
      <c r="T19" s="3"/>
      <c r="U19" s="3"/>
      <c r="V19" s="3"/>
      <c r="W19" s="3"/>
      <c r="X19" s="3"/>
      <c r="Y19" s="3"/>
      <c r="Z19" s="3"/>
    </row>
    <row r="20">
      <c r="A20" s="3" t="s">
        <v>74</v>
      </c>
      <c r="B20" s="3" t="s">
        <v>75</v>
      </c>
      <c r="C20" s="3" t="s">
        <v>137</v>
      </c>
      <c r="D20" s="3" t="s">
        <v>77</v>
      </c>
      <c r="E20" s="3"/>
      <c r="F20" s="3"/>
      <c r="G20" s="3"/>
      <c r="H20" s="3"/>
      <c r="I20" s="3"/>
      <c r="J20" s="3"/>
      <c r="K20" s="3"/>
      <c r="L20" s="3"/>
      <c r="M20" s="3"/>
      <c r="N20" s="3"/>
      <c r="O20" s="3"/>
      <c r="P20" s="3"/>
      <c r="Q20" s="3"/>
      <c r="R20" s="3"/>
      <c r="S20" s="3"/>
      <c r="T20" s="3"/>
      <c r="U20" s="3"/>
      <c r="V20" s="3"/>
      <c r="W20" s="3"/>
      <c r="X20" s="3"/>
      <c r="Y20" s="3"/>
      <c r="Z20" s="3"/>
    </row>
    <row r="21" ht="15.75" customHeight="1">
      <c r="A21" s="3" t="s">
        <v>80</v>
      </c>
      <c r="B21" s="3" t="s">
        <v>81</v>
      </c>
      <c r="C21" s="3" t="s">
        <v>137</v>
      </c>
      <c r="D21" s="3" t="s">
        <v>82</v>
      </c>
      <c r="E21" s="3"/>
      <c r="F21" s="3"/>
      <c r="G21" s="3"/>
      <c r="H21" s="3"/>
      <c r="I21" s="3"/>
      <c r="J21" s="3"/>
      <c r="K21" s="3"/>
      <c r="L21" s="3"/>
      <c r="M21" s="3"/>
      <c r="N21" s="3"/>
      <c r="O21" s="3"/>
      <c r="P21" s="3"/>
      <c r="Q21" s="3"/>
      <c r="R21" s="3"/>
      <c r="S21" s="3"/>
      <c r="T21" s="3"/>
      <c r="U21" s="3"/>
      <c r="V21" s="3"/>
      <c r="W21" s="3"/>
      <c r="X21" s="3"/>
      <c r="Y21" s="3"/>
      <c r="Z21" s="3"/>
    </row>
    <row r="22" ht="15.75" customHeight="1">
      <c r="A22" s="3" t="s">
        <v>84</v>
      </c>
      <c r="B22" s="3" t="s">
        <v>85</v>
      </c>
      <c r="C22" s="3" t="s">
        <v>137</v>
      </c>
      <c r="D22" s="3" t="s">
        <v>87</v>
      </c>
      <c r="E22" s="3"/>
      <c r="F22" s="3"/>
      <c r="G22" s="3"/>
      <c r="H22" s="3"/>
      <c r="I22" s="3"/>
      <c r="J22" s="3"/>
      <c r="K22" s="3"/>
      <c r="L22" s="3"/>
      <c r="M22" s="3"/>
      <c r="N22" s="3"/>
      <c r="O22" s="3"/>
      <c r="P22" s="3"/>
      <c r="Q22" s="3"/>
      <c r="R22" s="3"/>
      <c r="S22" s="3"/>
      <c r="T22" s="3"/>
      <c r="U22" s="3"/>
      <c r="V22" s="3"/>
      <c r="W22" s="3"/>
      <c r="X22" s="3"/>
      <c r="Y22" s="3"/>
      <c r="Z22" s="3"/>
    </row>
    <row r="23" ht="15.75" customHeight="1">
      <c r="A23" s="3" t="s">
        <v>91</v>
      </c>
      <c r="B23" s="3" t="s">
        <v>92</v>
      </c>
      <c r="C23" s="3" t="s">
        <v>137</v>
      </c>
      <c r="D23" s="3" t="s">
        <v>94</v>
      </c>
      <c r="E23" s="3"/>
      <c r="F23" s="3"/>
      <c r="G23" s="3"/>
      <c r="H23" s="3"/>
      <c r="I23" s="3"/>
      <c r="J23" s="3"/>
      <c r="K23" s="3"/>
      <c r="L23" s="3"/>
      <c r="M23" s="3"/>
      <c r="N23" s="3"/>
      <c r="O23" s="3"/>
      <c r="P23" s="3"/>
      <c r="Q23" s="3"/>
      <c r="R23" s="3"/>
      <c r="S23" s="3"/>
      <c r="T23" s="3"/>
      <c r="U23" s="3"/>
      <c r="V23" s="3"/>
      <c r="W23" s="3"/>
      <c r="X23" s="3"/>
      <c r="Y23" s="3"/>
      <c r="Z23" s="3"/>
    </row>
    <row r="24" ht="15.75" customHeight="1">
      <c r="A24" s="3" t="s">
        <v>96</v>
      </c>
      <c r="B24" s="3" t="s">
        <v>98</v>
      </c>
      <c r="C24" s="3" t="s">
        <v>99</v>
      </c>
      <c r="D24" s="3" t="s">
        <v>101</v>
      </c>
      <c r="E24" s="3"/>
      <c r="F24" s="3"/>
      <c r="G24" s="3"/>
      <c r="H24" s="3"/>
      <c r="I24" s="3"/>
      <c r="J24" s="3"/>
      <c r="K24" s="3"/>
      <c r="L24" s="3"/>
      <c r="M24" s="3"/>
      <c r="N24" s="3"/>
      <c r="O24" s="3"/>
      <c r="P24" s="3"/>
      <c r="Q24" s="3"/>
      <c r="R24" s="3"/>
      <c r="S24" s="3"/>
      <c r="T24" s="3"/>
      <c r="U24" s="3"/>
      <c r="V24" s="3"/>
      <c r="W24" s="3"/>
      <c r="X24" s="3"/>
      <c r="Y24" s="3"/>
      <c r="Z24" s="3"/>
    </row>
    <row r="25" ht="15.75" customHeight="1">
      <c r="A25" s="3" t="s">
        <v>103</v>
      </c>
      <c r="B25" s="3" t="s">
        <v>104</v>
      </c>
      <c r="C25" s="3">
        <v>0.006141</v>
      </c>
      <c r="D25" s="3" t="s">
        <v>106</v>
      </c>
      <c r="E25" s="3"/>
      <c r="F25" s="3"/>
      <c r="G25" s="3"/>
      <c r="H25" s="3"/>
      <c r="I25" s="3"/>
      <c r="J25" s="3"/>
      <c r="K25" s="3"/>
      <c r="L25" s="3"/>
      <c r="M25" s="3"/>
      <c r="N25" s="3"/>
      <c r="O25" s="3"/>
      <c r="P25" s="3"/>
      <c r="Q25" s="3"/>
      <c r="R25" s="3"/>
      <c r="S25" s="3"/>
      <c r="T25" s="3"/>
      <c r="U25" s="3"/>
      <c r="V25" s="3"/>
      <c r="W25" s="3"/>
      <c r="X25" s="3"/>
      <c r="Y25" s="3"/>
      <c r="Z25" s="3"/>
    </row>
    <row r="26" ht="15.75" customHeight="1">
      <c r="A26" s="3" t="s">
        <v>108</v>
      </c>
      <c r="B26" s="3" t="s">
        <v>109</v>
      </c>
      <c r="C26" s="3">
        <v>78.2</v>
      </c>
      <c r="D26" s="3" t="s">
        <v>110</v>
      </c>
      <c r="E26" s="3"/>
      <c r="F26" s="3"/>
      <c r="G26" s="3"/>
      <c r="H26" s="3"/>
      <c r="I26" s="3"/>
      <c r="J26" s="3"/>
      <c r="K26" s="3"/>
      <c r="L26" s="3"/>
      <c r="M26" s="3"/>
      <c r="N26" s="3"/>
      <c r="O26" s="3"/>
      <c r="P26" s="3"/>
      <c r="Q26" s="3"/>
      <c r="R26" s="3"/>
      <c r="S26" s="3"/>
      <c r="T26" s="3"/>
      <c r="U26" s="3"/>
      <c r="V26" s="3"/>
      <c r="W26" s="3"/>
      <c r="X26" s="3"/>
      <c r="Y26" s="3"/>
      <c r="Z26" s="3"/>
    </row>
    <row r="27" ht="15.75" customHeight="1">
      <c r="A27" s="3" t="s">
        <v>47</v>
      </c>
      <c r="B27" s="3" t="s">
        <v>48</v>
      </c>
      <c r="C27" s="3" t="s">
        <v>49</v>
      </c>
      <c r="D27" s="3" t="s">
        <v>50</v>
      </c>
      <c r="E27" s="3"/>
      <c r="F27" s="3"/>
      <c r="G27" s="3"/>
      <c r="H27" s="3"/>
      <c r="I27" s="3"/>
      <c r="J27" s="3"/>
      <c r="K27" s="3"/>
      <c r="L27" s="3"/>
      <c r="M27" s="3"/>
      <c r="N27" s="3"/>
      <c r="O27" s="3"/>
      <c r="P27" s="3"/>
      <c r="Q27" s="3"/>
      <c r="R27" s="3"/>
      <c r="S27" s="3"/>
      <c r="T27" s="3"/>
      <c r="U27" s="3"/>
      <c r="V27" s="3"/>
      <c r="W27" s="3"/>
      <c r="X27" s="3"/>
      <c r="Y27" s="3"/>
      <c r="Z27" s="3"/>
    </row>
    <row r="28" ht="15.75" customHeight="1">
      <c r="A28" s="3" t="s">
        <v>52</v>
      </c>
      <c r="B28" s="3" t="s">
        <v>53</v>
      </c>
      <c r="C28" s="3" t="s">
        <v>54</v>
      </c>
      <c r="D28" s="3" t="s">
        <v>55</v>
      </c>
      <c r="E28" s="3"/>
      <c r="F28" s="3"/>
      <c r="G28" s="3"/>
      <c r="H28" s="3"/>
      <c r="I28" s="3"/>
      <c r="J28" s="3"/>
      <c r="K28" s="3"/>
      <c r="L28" s="3"/>
      <c r="M28" s="3"/>
      <c r="N28" s="3"/>
      <c r="O28" s="3"/>
      <c r="P28" s="3"/>
      <c r="Q28" s="3"/>
      <c r="R28" s="3"/>
      <c r="S28" s="3"/>
      <c r="T28" s="3"/>
      <c r="U28" s="3"/>
      <c r="V28" s="3"/>
      <c r="W28" s="3"/>
      <c r="X28" s="3"/>
      <c r="Y28" s="3"/>
      <c r="Z28" s="3"/>
    </row>
    <row r="29" ht="15.75" customHeight="1">
      <c r="A29" s="3" t="s">
        <v>56</v>
      </c>
      <c r="B29" s="3" t="s">
        <v>57</v>
      </c>
      <c r="C29" s="3" t="s">
        <v>146</v>
      </c>
      <c r="D29" s="3" t="s">
        <v>59</v>
      </c>
      <c r="E29" s="3"/>
      <c r="F29" s="3"/>
      <c r="G29" s="3"/>
      <c r="H29" s="3"/>
      <c r="I29" s="3"/>
      <c r="J29" s="3"/>
      <c r="K29" s="3"/>
      <c r="L29" s="3"/>
      <c r="M29" s="3"/>
      <c r="N29" s="3"/>
      <c r="O29" s="3"/>
      <c r="P29" s="3"/>
      <c r="Q29" s="3"/>
      <c r="R29" s="3"/>
      <c r="S29" s="3"/>
      <c r="T29" s="3"/>
      <c r="U29" s="3"/>
      <c r="V29" s="3"/>
      <c r="W29" s="3"/>
      <c r="X29" s="3"/>
      <c r="Y29" s="3"/>
      <c r="Z29" s="3"/>
    </row>
    <row r="30" ht="15.75" customHeight="1">
      <c r="A30" s="3" t="s">
        <v>61</v>
      </c>
      <c r="B30" s="3" t="s">
        <v>62</v>
      </c>
      <c r="C30" s="3" t="s">
        <v>146</v>
      </c>
      <c r="D30" s="3" t="s">
        <v>64</v>
      </c>
      <c r="E30" s="3"/>
      <c r="F30" s="3"/>
      <c r="G30" s="3"/>
      <c r="H30" s="3"/>
      <c r="I30" s="3"/>
      <c r="J30" s="3"/>
      <c r="K30" s="3"/>
      <c r="L30" s="3"/>
      <c r="M30" s="3"/>
      <c r="N30" s="3"/>
      <c r="O30" s="3"/>
      <c r="P30" s="3"/>
      <c r="Q30" s="3"/>
      <c r="R30" s="3"/>
      <c r="S30" s="3"/>
      <c r="T30" s="3"/>
      <c r="U30" s="3"/>
      <c r="V30" s="3"/>
      <c r="W30" s="3"/>
      <c r="X30" s="3"/>
      <c r="Y30" s="3"/>
      <c r="Z30" s="3"/>
    </row>
    <row r="31" ht="15.75" customHeight="1">
      <c r="A31" s="3" t="s">
        <v>68</v>
      </c>
      <c r="B31" s="3" t="s">
        <v>69</v>
      </c>
      <c r="C31" s="3" t="s">
        <v>70</v>
      </c>
      <c r="D31" s="3" t="s">
        <v>71</v>
      </c>
      <c r="E31" s="3"/>
      <c r="F31" s="3"/>
      <c r="G31" s="3"/>
      <c r="H31" s="3"/>
      <c r="I31" s="3"/>
      <c r="J31" s="3"/>
      <c r="K31" s="3"/>
      <c r="L31" s="3"/>
      <c r="M31" s="3"/>
      <c r="N31" s="3"/>
      <c r="O31" s="3"/>
      <c r="P31" s="3"/>
      <c r="Q31" s="3"/>
      <c r="R31" s="3"/>
      <c r="S31" s="3"/>
      <c r="T31" s="3"/>
      <c r="U31" s="3"/>
      <c r="V31" s="3"/>
      <c r="W31" s="3"/>
      <c r="X31" s="3"/>
      <c r="Y31" s="3"/>
      <c r="Z31" s="3"/>
    </row>
    <row r="32" ht="15.75" customHeight="1">
      <c r="A32" s="3" t="s">
        <v>74</v>
      </c>
      <c r="B32" s="3" t="s">
        <v>75</v>
      </c>
      <c r="C32" s="3" t="s">
        <v>153</v>
      </c>
      <c r="D32" s="3" t="s">
        <v>77</v>
      </c>
      <c r="E32" s="3"/>
      <c r="F32" s="3"/>
      <c r="G32" s="3"/>
      <c r="H32" s="3"/>
      <c r="I32" s="3"/>
      <c r="J32" s="3"/>
      <c r="K32" s="3"/>
      <c r="L32" s="3"/>
      <c r="M32" s="3"/>
      <c r="N32" s="3"/>
      <c r="O32" s="3"/>
      <c r="P32" s="3"/>
      <c r="Q32" s="3"/>
      <c r="R32" s="3"/>
      <c r="S32" s="3"/>
      <c r="T32" s="3"/>
      <c r="U32" s="3"/>
      <c r="V32" s="3"/>
      <c r="W32" s="3"/>
      <c r="X32" s="3"/>
      <c r="Y32" s="3"/>
      <c r="Z32" s="3"/>
    </row>
    <row r="33" ht="15.75" customHeight="1">
      <c r="A33" s="3" t="s">
        <v>80</v>
      </c>
      <c r="B33" s="3" t="s">
        <v>81</v>
      </c>
      <c r="C33" s="3" t="s">
        <v>153</v>
      </c>
      <c r="D33" s="3" t="s">
        <v>82</v>
      </c>
      <c r="E33" s="3"/>
      <c r="F33" s="3"/>
      <c r="G33" s="3"/>
      <c r="H33" s="3"/>
      <c r="I33" s="3"/>
      <c r="J33" s="3"/>
      <c r="K33" s="3"/>
      <c r="L33" s="3"/>
      <c r="M33" s="3"/>
      <c r="N33" s="3"/>
      <c r="O33" s="3"/>
      <c r="P33" s="3"/>
      <c r="Q33" s="3"/>
      <c r="R33" s="3"/>
      <c r="S33" s="3"/>
      <c r="T33" s="3"/>
      <c r="U33" s="3"/>
      <c r="V33" s="3"/>
      <c r="W33" s="3"/>
      <c r="X33" s="3"/>
      <c r="Y33" s="3"/>
      <c r="Z33" s="3"/>
    </row>
    <row r="34" ht="15.75" customHeight="1">
      <c r="A34" s="3" t="s">
        <v>84</v>
      </c>
      <c r="B34" s="3" t="s">
        <v>85</v>
      </c>
      <c r="C34" s="3" t="s">
        <v>153</v>
      </c>
      <c r="D34" s="3" t="s">
        <v>87</v>
      </c>
      <c r="E34" s="3"/>
      <c r="F34" s="3"/>
      <c r="G34" s="3"/>
      <c r="H34" s="3"/>
      <c r="I34" s="3"/>
      <c r="J34" s="3"/>
      <c r="K34" s="3"/>
      <c r="L34" s="3"/>
      <c r="M34" s="3"/>
      <c r="N34" s="3"/>
      <c r="O34" s="3"/>
      <c r="P34" s="3"/>
      <c r="Q34" s="3"/>
      <c r="R34" s="3"/>
      <c r="S34" s="3"/>
      <c r="T34" s="3"/>
      <c r="U34" s="3"/>
      <c r="V34" s="3"/>
      <c r="W34" s="3"/>
      <c r="X34" s="3"/>
      <c r="Y34" s="3"/>
      <c r="Z34" s="3"/>
    </row>
    <row r="35" ht="15.75" customHeight="1">
      <c r="A35" s="3" t="s">
        <v>91</v>
      </c>
      <c r="B35" s="3" t="s">
        <v>92</v>
      </c>
      <c r="C35" s="3" t="s">
        <v>153</v>
      </c>
      <c r="D35" s="3" t="s">
        <v>94</v>
      </c>
      <c r="E35" s="3"/>
      <c r="F35" s="3"/>
      <c r="G35" s="3"/>
      <c r="H35" s="3"/>
      <c r="I35" s="3"/>
      <c r="J35" s="3"/>
      <c r="K35" s="3"/>
      <c r="L35" s="3"/>
      <c r="M35" s="3"/>
      <c r="N35" s="3"/>
      <c r="O35" s="3"/>
      <c r="P35" s="3"/>
      <c r="Q35" s="3"/>
      <c r="R35" s="3"/>
      <c r="S35" s="3"/>
      <c r="T35" s="3"/>
      <c r="U35" s="3"/>
      <c r="V35" s="3"/>
      <c r="W35" s="3"/>
      <c r="X35" s="3"/>
      <c r="Y35" s="3"/>
      <c r="Z35" s="3"/>
    </row>
    <row r="36" ht="15.75" customHeight="1">
      <c r="A36" s="3" t="s">
        <v>96</v>
      </c>
      <c r="B36" s="3" t="s">
        <v>98</v>
      </c>
      <c r="C36" s="3" t="s">
        <v>99</v>
      </c>
      <c r="D36" s="3" t="s">
        <v>101</v>
      </c>
      <c r="E36" s="3"/>
      <c r="F36" s="3"/>
      <c r="G36" s="3"/>
      <c r="H36" s="3"/>
      <c r="I36" s="3"/>
      <c r="J36" s="3"/>
      <c r="K36" s="3"/>
      <c r="L36" s="3"/>
      <c r="M36" s="3"/>
      <c r="N36" s="3"/>
      <c r="O36" s="3"/>
      <c r="P36" s="3"/>
      <c r="Q36" s="3"/>
      <c r="R36" s="3"/>
      <c r="S36" s="3"/>
      <c r="T36" s="3"/>
      <c r="U36" s="3"/>
      <c r="V36" s="3"/>
      <c r="W36" s="3"/>
      <c r="X36" s="3"/>
      <c r="Y36" s="3"/>
      <c r="Z36" s="3"/>
    </row>
    <row r="37" ht="15.75" customHeight="1">
      <c r="A37" s="3" t="s">
        <v>103</v>
      </c>
      <c r="B37" s="3" t="s">
        <v>104</v>
      </c>
      <c r="C37" s="3">
        <v>0.006141</v>
      </c>
      <c r="D37" s="3" t="s">
        <v>106</v>
      </c>
      <c r="E37" s="3"/>
      <c r="F37" s="3"/>
      <c r="G37" s="3"/>
      <c r="H37" s="3"/>
      <c r="I37" s="3"/>
      <c r="J37" s="3"/>
      <c r="K37" s="3"/>
      <c r="L37" s="3"/>
      <c r="M37" s="3"/>
      <c r="N37" s="3"/>
      <c r="O37" s="3"/>
      <c r="P37" s="3"/>
      <c r="Q37" s="3"/>
      <c r="R37" s="3"/>
      <c r="S37" s="3"/>
      <c r="T37" s="3"/>
      <c r="U37" s="3"/>
      <c r="V37" s="3"/>
      <c r="W37" s="3"/>
      <c r="X37" s="3"/>
      <c r="Y37" s="3"/>
      <c r="Z37" s="3"/>
    </row>
    <row r="38" ht="15.75" customHeight="1">
      <c r="A38" s="3" t="s">
        <v>108</v>
      </c>
      <c r="B38" s="3" t="s">
        <v>109</v>
      </c>
      <c r="C38" s="3">
        <v>78.2</v>
      </c>
      <c r="D38" s="3" t="s">
        <v>110</v>
      </c>
      <c r="E38" s="3"/>
      <c r="F38" s="3"/>
      <c r="G38" s="3"/>
      <c r="H38" s="3"/>
      <c r="I38" s="3"/>
      <c r="J38" s="3"/>
      <c r="K38" s="3"/>
      <c r="L38" s="3"/>
      <c r="M38" s="3"/>
      <c r="N38" s="3"/>
      <c r="O38" s="3"/>
      <c r="P38" s="3"/>
      <c r="Q38" s="3"/>
      <c r="R38" s="3"/>
      <c r="S38" s="3"/>
      <c r="T38" s="3"/>
      <c r="U38" s="3"/>
      <c r="V38" s="3"/>
      <c r="W38" s="3"/>
      <c r="X38" s="3"/>
      <c r="Y38" s="3"/>
      <c r="Z38" s="3"/>
    </row>
    <row r="39" ht="15.75" customHeight="1">
      <c r="A39" s="3" t="s">
        <v>47</v>
      </c>
      <c r="B39" s="3" t="s">
        <v>48</v>
      </c>
      <c r="C39" s="3" t="s">
        <v>160</v>
      </c>
      <c r="D39" s="3" t="s">
        <v>50</v>
      </c>
      <c r="E39" s="3"/>
      <c r="F39" s="3"/>
      <c r="G39" s="3"/>
      <c r="H39" s="3"/>
      <c r="I39" s="3"/>
      <c r="J39" s="3"/>
      <c r="K39" s="3"/>
      <c r="L39" s="3"/>
      <c r="M39" s="3"/>
      <c r="N39" s="3"/>
      <c r="O39" s="3"/>
      <c r="P39" s="3"/>
      <c r="Q39" s="3"/>
      <c r="R39" s="3"/>
      <c r="S39" s="3"/>
      <c r="T39" s="3"/>
      <c r="U39" s="3"/>
      <c r="V39" s="3"/>
      <c r="W39" s="3"/>
      <c r="X39" s="3"/>
      <c r="Y39" s="3"/>
      <c r="Z39" s="3"/>
    </row>
    <row r="40" ht="15.75" customHeight="1">
      <c r="A40" s="3" t="s">
        <v>52</v>
      </c>
      <c r="B40" s="3" t="s">
        <v>53</v>
      </c>
      <c r="C40" s="3" t="s">
        <v>54</v>
      </c>
      <c r="D40" s="3" t="s">
        <v>55</v>
      </c>
      <c r="E40" s="3"/>
      <c r="F40" s="3"/>
      <c r="G40" s="3"/>
      <c r="H40" s="3"/>
      <c r="I40" s="3"/>
      <c r="J40" s="3"/>
      <c r="K40" s="3"/>
      <c r="L40" s="3"/>
      <c r="M40" s="3"/>
      <c r="N40" s="3"/>
      <c r="O40" s="3"/>
      <c r="P40" s="3"/>
      <c r="Q40" s="3"/>
      <c r="R40" s="3"/>
      <c r="S40" s="3"/>
      <c r="T40" s="3"/>
      <c r="U40" s="3"/>
      <c r="V40" s="3"/>
      <c r="W40" s="3"/>
      <c r="X40" s="3"/>
      <c r="Y40" s="3"/>
      <c r="Z40" s="3"/>
    </row>
    <row r="41" ht="15.75" customHeight="1">
      <c r="A41" s="3" t="s">
        <v>56</v>
      </c>
      <c r="B41" s="3" t="s">
        <v>57</v>
      </c>
      <c r="C41" s="3">
        <v>0.5</v>
      </c>
      <c r="D41" s="3" t="s">
        <v>59</v>
      </c>
      <c r="E41" s="3"/>
      <c r="F41" s="3"/>
      <c r="G41" s="3"/>
      <c r="H41" s="3"/>
      <c r="I41" s="3"/>
      <c r="J41" s="3"/>
      <c r="K41" s="3"/>
      <c r="L41" s="3"/>
      <c r="M41" s="3"/>
      <c r="N41" s="3"/>
      <c r="O41" s="3"/>
      <c r="P41" s="3"/>
      <c r="Q41" s="3"/>
      <c r="R41" s="3"/>
      <c r="S41" s="3"/>
      <c r="T41" s="3"/>
      <c r="U41" s="3"/>
      <c r="V41" s="3"/>
      <c r="W41" s="3"/>
      <c r="X41" s="3"/>
      <c r="Y41" s="3"/>
      <c r="Z41" s="3"/>
    </row>
    <row r="42" ht="15.75" customHeight="1">
      <c r="A42" s="3" t="s">
        <v>61</v>
      </c>
      <c r="B42" s="3" t="s">
        <v>62</v>
      </c>
      <c r="C42" s="3">
        <v>0.5</v>
      </c>
      <c r="D42" s="3" t="s">
        <v>64</v>
      </c>
      <c r="E42" s="3"/>
      <c r="F42" s="3"/>
      <c r="G42" s="3"/>
      <c r="H42" s="3"/>
      <c r="I42" s="3"/>
      <c r="J42" s="3"/>
      <c r="K42" s="3"/>
      <c r="L42" s="3"/>
      <c r="M42" s="3"/>
      <c r="N42" s="3"/>
      <c r="O42" s="3"/>
      <c r="P42" s="3"/>
      <c r="Q42" s="3"/>
      <c r="R42" s="3"/>
      <c r="S42" s="3"/>
      <c r="T42" s="3"/>
      <c r="U42" s="3"/>
      <c r="V42" s="3"/>
      <c r="W42" s="3"/>
      <c r="X42" s="3"/>
      <c r="Y42" s="3"/>
      <c r="Z42" s="3"/>
    </row>
    <row r="43" ht="15.75" customHeight="1">
      <c r="A43" s="3" t="s">
        <v>68</v>
      </c>
      <c r="B43" s="3" t="s">
        <v>69</v>
      </c>
      <c r="C43" s="3">
        <v>0.61</v>
      </c>
      <c r="D43" s="3" t="s">
        <v>71</v>
      </c>
      <c r="E43" s="3"/>
      <c r="F43" s="3"/>
      <c r="G43" s="3"/>
      <c r="H43" s="3"/>
      <c r="I43" s="3"/>
      <c r="J43" s="3"/>
      <c r="K43" s="3"/>
      <c r="L43" s="3"/>
      <c r="M43" s="3"/>
      <c r="N43" s="3"/>
      <c r="O43" s="3"/>
      <c r="P43" s="3"/>
      <c r="Q43" s="3"/>
      <c r="R43" s="3"/>
      <c r="S43" s="3"/>
      <c r="T43" s="3"/>
      <c r="U43" s="3"/>
      <c r="V43" s="3"/>
      <c r="W43" s="3"/>
      <c r="X43" s="3"/>
      <c r="Y43" s="3"/>
      <c r="Z43" s="3"/>
    </row>
    <row r="44" ht="15.75" customHeight="1">
      <c r="A44" s="3" t="s">
        <v>74</v>
      </c>
      <c r="B44" s="3" t="s">
        <v>75</v>
      </c>
      <c r="C44" s="3" t="s">
        <v>170</v>
      </c>
      <c r="D44" s="3" t="s">
        <v>77</v>
      </c>
      <c r="E44" s="3"/>
      <c r="F44" s="3"/>
      <c r="G44" s="3"/>
      <c r="H44" s="3"/>
      <c r="I44" s="3"/>
      <c r="J44" s="3"/>
      <c r="K44" s="3"/>
      <c r="L44" s="3"/>
      <c r="M44" s="3"/>
      <c r="N44" s="3"/>
      <c r="O44" s="3"/>
      <c r="P44" s="3"/>
      <c r="Q44" s="3"/>
      <c r="R44" s="3"/>
      <c r="S44" s="3"/>
      <c r="T44" s="3"/>
      <c r="U44" s="3"/>
      <c r="V44" s="3"/>
      <c r="W44" s="3"/>
      <c r="X44" s="3"/>
      <c r="Y44" s="3"/>
      <c r="Z44" s="3"/>
    </row>
    <row r="45" ht="15.75" customHeight="1">
      <c r="A45" s="3" t="s">
        <v>80</v>
      </c>
      <c r="B45" s="3" t="s">
        <v>81</v>
      </c>
      <c r="C45" s="3" t="s">
        <v>170</v>
      </c>
      <c r="D45" s="3" t="s">
        <v>82</v>
      </c>
      <c r="E45" s="3"/>
      <c r="F45" s="3"/>
      <c r="G45" s="3"/>
      <c r="H45" s="3"/>
      <c r="I45" s="3"/>
      <c r="J45" s="3"/>
      <c r="K45" s="3"/>
      <c r="L45" s="3"/>
      <c r="M45" s="3"/>
      <c r="N45" s="3"/>
      <c r="O45" s="3"/>
      <c r="P45" s="3"/>
      <c r="Q45" s="3"/>
      <c r="R45" s="3"/>
      <c r="S45" s="3"/>
      <c r="T45" s="3"/>
      <c r="U45" s="3"/>
      <c r="V45" s="3"/>
      <c r="W45" s="3"/>
      <c r="X45" s="3"/>
      <c r="Y45" s="3"/>
      <c r="Z45" s="3"/>
    </row>
    <row r="46" ht="15.75" customHeight="1">
      <c r="A46" s="3" t="s">
        <v>84</v>
      </c>
      <c r="B46" s="3" t="s">
        <v>85</v>
      </c>
      <c r="C46" s="3" t="s">
        <v>170</v>
      </c>
      <c r="D46" s="3" t="s">
        <v>87</v>
      </c>
      <c r="E46" s="3"/>
      <c r="F46" s="3"/>
      <c r="G46" s="3"/>
      <c r="H46" s="3"/>
      <c r="I46" s="3"/>
      <c r="J46" s="3"/>
      <c r="K46" s="3"/>
      <c r="L46" s="3"/>
      <c r="M46" s="3"/>
      <c r="N46" s="3"/>
      <c r="O46" s="3"/>
      <c r="P46" s="3"/>
      <c r="Q46" s="3"/>
      <c r="R46" s="3"/>
      <c r="S46" s="3"/>
      <c r="T46" s="3"/>
      <c r="U46" s="3"/>
      <c r="V46" s="3"/>
      <c r="W46" s="3"/>
      <c r="X46" s="3"/>
      <c r="Y46" s="3"/>
      <c r="Z46" s="3"/>
    </row>
    <row r="47" ht="15.75" customHeight="1">
      <c r="A47" s="3" t="s">
        <v>91</v>
      </c>
      <c r="B47" s="3" t="s">
        <v>92</v>
      </c>
      <c r="C47" s="3" t="s">
        <v>170</v>
      </c>
      <c r="D47" s="3" t="s">
        <v>94</v>
      </c>
      <c r="E47" s="3"/>
      <c r="F47" s="3"/>
      <c r="G47" s="3"/>
      <c r="H47" s="3"/>
      <c r="I47" s="3"/>
      <c r="J47" s="3"/>
      <c r="K47" s="3"/>
      <c r="L47" s="3"/>
      <c r="M47" s="3"/>
      <c r="N47" s="3"/>
      <c r="O47" s="3"/>
      <c r="P47" s="3"/>
      <c r="Q47" s="3"/>
      <c r="R47" s="3"/>
      <c r="S47" s="3"/>
      <c r="T47" s="3"/>
      <c r="U47" s="3"/>
      <c r="V47" s="3"/>
      <c r="W47" s="3"/>
      <c r="X47" s="3"/>
      <c r="Y47" s="3"/>
      <c r="Z47" s="3"/>
    </row>
    <row r="48" ht="15.75" customHeight="1">
      <c r="A48" s="3" t="s">
        <v>96</v>
      </c>
      <c r="B48" s="3" t="s">
        <v>98</v>
      </c>
      <c r="C48" s="3" t="s">
        <v>99</v>
      </c>
      <c r="D48" s="3" t="s">
        <v>101</v>
      </c>
      <c r="E48" s="3"/>
      <c r="F48" s="3"/>
      <c r="G48" s="3"/>
      <c r="H48" s="3"/>
      <c r="I48" s="3"/>
      <c r="J48" s="3"/>
      <c r="K48" s="3"/>
      <c r="L48" s="3"/>
      <c r="M48" s="3"/>
      <c r="N48" s="3"/>
      <c r="O48" s="3"/>
      <c r="P48" s="3"/>
      <c r="Q48" s="3"/>
      <c r="R48" s="3"/>
      <c r="S48" s="3"/>
      <c r="T48" s="3"/>
      <c r="U48" s="3"/>
      <c r="V48" s="3"/>
      <c r="W48" s="3"/>
      <c r="X48" s="3"/>
      <c r="Y48" s="3"/>
      <c r="Z48" s="3"/>
    </row>
    <row r="49" ht="15.75" customHeight="1">
      <c r="A49" s="3" t="s">
        <v>103</v>
      </c>
      <c r="B49" s="3" t="s">
        <v>104</v>
      </c>
      <c r="C49" s="3">
        <v>0.006141</v>
      </c>
      <c r="D49" s="3" t="s">
        <v>106</v>
      </c>
      <c r="E49" s="3"/>
      <c r="F49" s="3"/>
      <c r="G49" s="3"/>
      <c r="H49" s="3"/>
      <c r="I49" s="3"/>
      <c r="J49" s="3"/>
      <c r="K49" s="3"/>
      <c r="L49" s="3"/>
      <c r="M49" s="3"/>
      <c r="N49" s="3"/>
      <c r="O49" s="3"/>
      <c r="P49" s="3"/>
      <c r="Q49" s="3"/>
      <c r="R49" s="3"/>
      <c r="S49" s="3"/>
      <c r="T49" s="3"/>
      <c r="U49" s="3"/>
      <c r="V49" s="3"/>
      <c r="W49" s="3"/>
      <c r="X49" s="3"/>
      <c r="Y49" s="3"/>
      <c r="Z49" s="3"/>
    </row>
    <row r="50" ht="15.75" customHeight="1">
      <c r="A50" s="3" t="s">
        <v>108</v>
      </c>
      <c r="B50" s="3" t="s">
        <v>109</v>
      </c>
      <c r="C50" s="3">
        <v>78.2</v>
      </c>
      <c r="D50" s="3" t="s">
        <v>110</v>
      </c>
      <c r="E50" s="3"/>
      <c r="F50" s="3"/>
      <c r="G50" s="3"/>
      <c r="H50" s="3"/>
      <c r="I50" s="3"/>
      <c r="J50" s="3"/>
      <c r="K50" s="3"/>
      <c r="L50" s="3"/>
      <c r="M50" s="3"/>
      <c r="N50" s="3"/>
      <c r="O50" s="3"/>
      <c r="P50" s="3"/>
      <c r="Q50" s="3"/>
      <c r="R50" s="3"/>
      <c r="S50" s="3"/>
      <c r="T50" s="3"/>
      <c r="U50" s="3"/>
      <c r="V50" s="3"/>
      <c r="W50" s="3"/>
      <c r="X50" s="3"/>
      <c r="Y50" s="3"/>
      <c r="Z50" s="3"/>
    </row>
    <row r="51" ht="15.75" customHeight="1">
      <c r="A51" s="3" t="s">
        <v>183</v>
      </c>
      <c r="B51" s="3" t="s">
        <v>152</v>
      </c>
      <c r="C51" s="3" t="s">
        <v>185</v>
      </c>
      <c r="D51" s="3" t="s">
        <v>186</v>
      </c>
      <c r="E51" s="3"/>
      <c r="F51" s="3"/>
      <c r="G51" s="3"/>
      <c r="H51" s="3"/>
      <c r="I51" s="3"/>
      <c r="J51" s="3"/>
      <c r="K51" s="3"/>
      <c r="L51" s="3"/>
      <c r="M51" s="3"/>
      <c r="N51" s="3"/>
      <c r="O51" s="3"/>
      <c r="P51" s="3"/>
      <c r="Q51" s="3"/>
      <c r="R51" s="3"/>
      <c r="S51" s="3"/>
      <c r="T51" s="3"/>
      <c r="U51" s="3"/>
      <c r="V51" s="3"/>
      <c r="W51" s="3"/>
      <c r="X51" s="3"/>
      <c r="Y51" s="3"/>
      <c r="Z51" s="3"/>
    </row>
    <row r="52" ht="15.75" customHeight="1">
      <c r="A52" s="3" t="s">
        <v>187</v>
      </c>
      <c r="B52" s="3" t="s">
        <v>188</v>
      </c>
      <c r="C52" s="3">
        <v>1.0</v>
      </c>
      <c r="D52" s="3" t="s">
        <v>190</v>
      </c>
      <c r="E52" s="3"/>
      <c r="F52" s="3"/>
      <c r="G52" s="3"/>
      <c r="H52" s="3"/>
      <c r="I52" s="3"/>
      <c r="J52" s="3"/>
      <c r="K52" s="3"/>
      <c r="L52" s="3"/>
      <c r="M52" s="3"/>
      <c r="N52" s="3"/>
      <c r="O52" s="3"/>
      <c r="P52" s="3"/>
      <c r="Q52" s="3"/>
      <c r="R52" s="3"/>
      <c r="S52" s="3"/>
      <c r="T52" s="3"/>
      <c r="U52" s="3"/>
      <c r="V52" s="3"/>
      <c r="W52" s="3"/>
      <c r="X52" s="3"/>
      <c r="Y52" s="3"/>
      <c r="Z52" s="3"/>
    </row>
    <row r="53" ht="15.75" customHeight="1">
      <c r="A53" s="3" t="s">
        <v>193</v>
      </c>
      <c r="B53" s="3" t="s">
        <v>194</v>
      </c>
      <c r="C53" s="3">
        <v>1.0</v>
      </c>
      <c r="D53" s="3" t="s">
        <v>195</v>
      </c>
      <c r="E53" s="3"/>
      <c r="F53" s="3"/>
      <c r="G53" s="3"/>
      <c r="H53" s="3"/>
      <c r="I53" s="3"/>
      <c r="J53" s="3"/>
      <c r="K53" s="3"/>
      <c r="L53" s="3"/>
      <c r="M53" s="3"/>
      <c r="N53" s="3"/>
      <c r="O53" s="3"/>
      <c r="P53" s="3"/>
      <c r="Q53" s="3"/>
      <c r="R53" s="3"/>
      <c r="S53" s="3"/>
      <c r="T53" s="3"/>
      <c r="U53" s="3"/>
      <c r="V53" s="3"/>
      <c r="W53" s="3"/>
      <c r="X53" s="3"/>
      <c r="Y53" s="3"/>
      <c r="Z53" s="3"/>
    </row>
    <row r="54" ht="15.75" customHeight="1">
      <c r="A54" s="3" t="s">
        <v>199</v>
      </c>
      <c r="B54" s="3" t="s">
        <v>200</v>
      </c>
      <c r="C54" s="3">
        <v>1.0</v>
      </c>
      <c r="D54" s="3" t="s">
        <v>201</v>
      </c>
      <c r="E54" s="3"/>
      <c r="F54" s="3"/>
      <c r="G54" s="3"/>
      <c r="H54" s="3"/>
      <c r="I54" s="3"/>
      <c r="J54" s="3"/>
      <c r="K54" s="3"/>
      <c r="L54" s="3"/>
      <c r="M54" s="3"/>
      <c r="N54" s="3"/>
      <c r="O54" s="3"/>
      <c r="P54" s="3"/>
      <c r="Q54" s="3"/>
      <c r="R54" s="3"/>
      <c r="S54" s="3"/>
      <c r="T54" s="3"/>
      <c r="U54" s="3"/>
      <c r="V54" s="3"/>
      <c r="W54" s="3"/>
      <c r="X54" s="3"/>
      <c r="Y54" s="3"/>
      <c r="Z54" s="3"/>
    </row>
    <row r="55" ht="15.75" customHeight="1">
      <c r="A55" s="3" t="s">
        <v>206</v>
      </c>
      <c r="B55" s="3" t="s">
        <v>208</v>
      </c>
      <c r="C55" s="3">
        <v>1.0</v>
      </c>
      <c r="D55" s="3" t="s">
        <v>209</v>
      </c>
      <c r="E55" s="3"/>
      <c r="F55" s="3"/>
      <c r="G55" s="3"/>
      <c r="H55" s="3"/>
      <c r="I55" s="3"/>
      <c r="J55" s="3"/>
      <c r="K55" s="3"/>
      <c r="L55" s="3"/>
      <c r="M55" s="3"/>
      <c r="N55" s="3"/>
      <c r="O55" s="3"/>
      <c r="P55" s="3"/>
      <c r="Q55" s="3"/>
      <c r="R55" s="3"/>
      <c r="S55" s="3"/>
      <c r="T55" s="3"/>
      <c r="U55" s="3"/>
      <c r="V55" s="3"/>
      <c r="W55" s="3"/>
      <c r="X55" s="3"/>
      <c r="Y55" s="3"/>
      <c r="Z55" s="3"/>
    </row>
    <row r="56" ht="15.75" customHeight="1">
      <c r="A56" s="3" t="s">
        <v>211</v>
      </c>
      <c r="B56" s="3" t="s">
        <v>83</v>
      </c>
      <c r="C56" s="3">
        <v>106.25</v>
      </c>
      <c r="D56" s="3" t="s">
        <v>213</v>
      </c>
      <c r="E56" s="3"/>
      <c r="F56" s="3"/>
      <c r="G56" s="3"/>
      <c r="H56" s="3"/>
      <c r="I56" s="3"/>
      <c r="J56" s="3"/>
      <c r="K56" s="3"/>
      <c r="L56" s="3"/>
      <c r="M56" s="3"/>
      <c r="N56" s="3"/>
      <c r="O56" s="3"/>
      <c r="P56" s="3"/>
      <c r="Q56" s="3"/>
      <c r="R56" s="3"/>
      <c r="S56" s="3"/>
      <c r="T56" s="3"/>
      <c r="U56" s="3"/>
      <c r="V56" s="3"/>
      <c r="W56" s="3"/>
      <c r="X56" s="3"/>
      <c r="Y56" s="3"/>
      <c r="Z56" s="3"/>
    </row>
    <row r="57" ht="15.75" customHeight="1">
      <c r="A57" s="3" t="s">
        <v>220</v>
      </c>
      <c r="B57" s="3" t="s">
        <v>174</v>
      </c>
      <c r="C57" s="3">
        <v>106.25</v>
      </c>
      <c r="D57" s="3" t="s">
        <v>222</v>
      </c>
      <c r="E57" s="3"/>
      <c r="F57" s="3"/>
      <c r="G57" s="3"/>
      <c r="H57" s="3"/>
      <c r="I57" s="3"/>
      <c r="J57" s="3"/>
      <c r="K57" s="3"/>
      <c r="L57" s="3"/>
      <c r="M57" s="3"/>
      <c r="N57" s="3"/>
      <c r="O57" s="3"/>
      <c r="P57" s="3"/>
      <c r="Q57" s="3"/>
      <c r="R57" s="3"/>
      <c r="S57" s="3"/>
      <c r="T57" s="3"/>
      <c r="U57" s="3"/>
      <c r="V57" s="3"/>
      <c r="W57" s="3"/>
      <c r="X57" s="3"/>
      <c r="Y57" s="3"/>
      <c r="Z57" s="3"/>
    </row>
    <row r="58" ht="15.75" customHeight="1">
      <c r="A58" s="3" t="s">
        <v>224</v>
      </c>
      <c r="B58" s="3" t="s">
        <v>95</v>
      </c>
      <c r="C58" s="3">
        <v>0.05</v>
      </c>
      <c r="D58" s="3" t="s">
        <v>226</v>
      </c>
      <c r="E58" s="3"/>
      <c r="F58" s="3"/>
      <c r="G58" s="3"/>
      <c r="H58" s="3"/>
      <c r="I58" s="3"/>
      <c r="J58" s="3"/>
      <c r="K58" s="3"/>
      <c r="L58" s="3"/>
      <c r="M58" s="3"/>
      <c r="N58" s="3"/>
      <c r="O58" s="3"/>
      <c r="P58" s="3"/>
      <c r="Q58" s="3"/>
      <c r="R58" s="3"/>
      <c r="S58" s="3"/>
      <c r="T58" s="3"/>
      <c r="U58" s="3"/>
      <c r="V58" s="3"/>
      <c r="W58" s="3"/>
      <c r="X58" s="3"/>
      <c r="Y58" s="3"/>
      <c r="Z58" s="3"/>
    </row>
    <row r="59" ht="15.75" customHeight="1">
      <c r="A59" s="3" t="s">
        <v>228</v>
      </c>
      <c r="B59" s="3" t="s">
        <v>168</v>
      </c>
      <c r="C59" s="3">
        <v>0.05</v>
      </c>
      <c r="D59" s="3" t="s">
        <v>230</v>
      </c>
      <c r="E59" s="3"/>
      <c r="F59" s="3"/>
      <c r="G59" s="3"/>
      <c r="H59" s="3"/>
      <c r="I59" s="3"/>
      <c r="J59" s="3"/>
      <c r="K59" s="3"/>
      <c r="L59" s="3"/>
      <c r="M59" s="3"/>
      <c r="N59" s="3"/>
      <c r="O59" s="3"/>
      <c r="P59" s="3"/>
      <c r="Q59" s="3"/>
      <c r="R59" s="3"/>
      <c r="S59" s="3"/>
      <c r="T59" s="3"/>
      <c r="U59" s="3"/>
      <c r="V59" s="3"/>
      <c r="W59" s="3"/>
      <c r="X59" s="3"/>
      <c r="Y59" s="3"/>
      <c r="Z59" s="3"/>
    </row>
    <row r="60" ht="15.75" customHeight="1">
      <c r="A60" s="3" t="s">
        <v>234</v>
      </c>
      <c r="B60" s="3" t="s">
        <v>111</v>
      </c>
      <c r="C60" s="3">
        <v>0.01</v>
      </c>
      <c r="D60" s="3" t="s">
        <v>235</v>
      </c>
      <c r="E60" s="3"/>
      <c r="F60" s="3"/>
      <c r="G60" s="3"/>
      <c r="H60" s="3"/>
      <c r="I60" s="3"/>
      <c r="J60" s="3"/>
      <c r="K60" s="3"/>
      <c r="L60" s="3"/>
      <c r="M60" s="3"/>
      <c r="N60" s="3"/>
      <c r="O60" s="3"/>
      <c r="P60" s="3"/>
      <c r="Q60" s="3"/>
      <c r="R60" s="3"/>
      <c r="S60" s="3"/>
      <c r="T60" s="3"/>
      <c r="U60" s="3"/>
      <c r="V60" s="3"/>
      <c r="W60" s="3"/>
      <c r="X60" s="3"/>
      <c r="Y60" s="3"/>
      <c r="Z60" s="3"/>
    </row>
    <row r="61" ht="15.75" customHeight="1">
      <c r="A61" s="3" t="s">
        <v>237</v>
      </c>
      <c r="B61" s="3" t="s">
        <v>189</v>
      </c>
      <c r="C61" s="3">
        <v>0.55</v>
      </c>
      <c r="D61" s="3" t="s">
        <v>239</v>
      </c>
      <c r="E61" s="3"/>
      <c r="F61" s="3"/>
      <c r="G61" s="3"/>
      <c r="H61" s="3"/>
      <c r="I61" s="3"/>
      <c r="J61" s="3"/>
      <c r="K61" s="3"/>
      <c r="L61" s="3"/>
      <c r="M61" s="3"/>
      <c r="N61" s="3"/>
      <c r="O61" s="3"/>
      <c r="P61" s="3"/>
      <c r="Q61" s="3"/>
      <c r="R61" s="3"/>
      <c r="S61" s="3"/>
      <c r="T61" s="3"/>
      <c r="U61" s="3"/>
      <c r="V61" s="3"/>
      <c r="W61" s="3"/>
      <c r="X61" s="3"/>
      <c r="Y61" s="3"/>
      <c r="Z61" s="3"/>
    </row>
    <row r="62" ht="15.75" customHeight="1">
      <c r="A62" s="3" t="s">
        <v>240</v>
      </c>
      <c r="B62" s="3" t="s">
        <v>241</v>
      </c>
      <c r="C62" s="3">
        <v>1.0</v>
      </c>
      <c r="D62" s="3" t="s">
        <v>242</v>
      </c>
      <c r="E62" s="3"/>
      <c r="F62" s="3"/>
      <c r="G62" s="3"/>
      <c r="H62" s="3"/>
      <c r="I62" s="3"/>
      <c r="J62" s="3"/>
      <c r="K62" s="3"/>
      <c r="L62" s="3"/>
      <c r="M62" s="3"/>
      <c r="N62" s="3"/>
      <c r="O62" s="3"/>
      <c r="P62" s="3"/>
      <c r="Q62" s="3"/>
      <c r="R62" s="3"/>
      <c r="S62" s="3"/>
      <c r="T62" s="3"/>
      <c r="U62" s="3"/>
      <c r="V62" s="3"/>
      <c r="W62" s="3"/>
      <c r="X62" s="3"/>
      <c r="Y62" s="3"/>
      <c r="Z62" s="3"/>
    </row>
    <row r="63" ht="15.75" customHeight="1">
      <c r="A63" s="3" t="s">
        <v>247</v>
      </c>
      <c r="B63" s="3" t="s">
        <v>248</v>
      </c>
      <c r="C63" s="3">
        <v>1.0</v>
      </c>
      <c r="D63" s="3" t="s">
        <v>249</v>
      </c>
      <c r="E63" s="3"/>
      <c r="F63" s="3"/>
      <c r="G63" s="3"/>
      <c r="H63" s="3"/>
      <c r="I63" s="3"/>
      <c r="J63" s="3"/>
      <c r="K63" s="3"/>
      <c r="L63" s="3"/>
      <c r="M63" s="3"/>
      <c r="N63" s="3"/>
      <c r="O63" s="3"/>
      <c r="P63" s="3"/>
      <c r="Q63" s="3"/>
      <c r="R63" s="3"/>
      <c r="S63" s="3"/>
      <c r="T63" s="3"/>
      <c r="U63" s="3"/>
      <c r="V63" s="3"/>
      <c r="W63" s="3"/>
      <c r="X63" s="3"/>
      <c r="Y63" s="3"/>
      <c r="Z63" s="3"/>
    </row>
    <row r="64" ht="15.75" customHeight="1">
      <c r="A64" s="3" t="s">
        <v>255</v>
      </c>
      <c r="B64" s="3" t="s">
        <v>256</v>
      </c>
      <c r="C64" s="3">
        <v>4.0</v>
      </c>
      <c r="D64" s="3" t="s">
        <v>258</v>
      </c>
      <c r="E64" s="3"/>
      <c r="F64" s="3"/>
      <c r="G64" s="3"/>
      <c r="H64" s="3"/>
      <c r="I64" s="3"/>
      <c r="J64" s="3"/>
      <c r="K64" s="3"/>
      <c r="L64" s="3"/>
      <c r="M64" s="3"/>
      <c r="N64" s="3"/>
      <c r="O64" s="3"/>
      <c r="P64" s="3"/>
      <c r="Q64" s="3"/>
      <c r="R64" s="3"/>
      <c r="S64" s="3"/>
      <c r="T64" s="3"/>
      <c r="U64" s="3"/>
      <c r="V64" s="3"/>
      <c r="W64" s="3"/>
      <c r="X64" s="3"/>
      <c r="Y64" s="3"/>
      <c r="Z64" s="3"/>
    </row>
    <row r="65" ht="15.75" customHeight="1">
      <c r="A65" s="3" t="s">
        <v>260</v>
      </c>
      <c r="B65" s="3" t="s">
        <v>252</v>
      </c>
      <c r="C65" s="3">
        <v>1.0</v>
      </c>
      <c r="D65" s="3" t="s">
        <v>261</v>
      </c>
      <c r="E65" s="3"/>
      <c r="F65" s="3"/>
      <c r="G65" s="3"/>
      <c r="H65" s="3"/>
      <c r="I65" s="3"/>
      <c r="J65" s="3"/>
      <c r="K65" s="3"/>
      <c r="L65" s="3"/>
      <c r="M65" s="3"/>
      <c r="N65" s="3"/>
      <c r="O65" s="3"/>
      <c r="P65" s="3"/>
      <c r="Q65" s="3"/>
      <c r="R65" s="3"/>
      <c r="S65" s="3"/>
      <c r="T65" s="3"/>
      <c r="U65" s="3"/>
      <c r="V65" s="3"/>
      <c r="W65" s="3"/>
      <c r="X65" s="3"/>
      <c r="Y65" s="3"/>
      <c r="Z65" s="3"/>
    </row>
    <row r="66" ht="15.75" customHeight="1">
      <c r="A66" s="3" t="s">
        <v>264</v>
      </c>
      <c r="B66" s="3" t="s">
        <v>265</v>
      </c>
      <c r="C66" s="3">
        <v>0.0</v>
      </c>
      <c r="D66" s="3" t="s">
        <v>267</v>
      </c>
      <c r="E66" s="3"/>
      <c r="F66" s="3"/>
      <c r="G66" s="3"/>
      <c r="H66" s="3"/>
      <c r="I66" s="3"/>
      <c r="J66" s="3"/>
      <c r="K66" s="3"/>
      <c r="L66" s="3"/>
      <c r="M66" s="3"/>
      <c r="N66" s="3"/>
      <c r="O66" s="3"/>
      <c r="P66" s="3"/>
      <c r="Q66" s="3"/>
      <c r="R66" s="3"/>
      <c r="S66" s="3"/>
      <c r="T66" s="3"/>
      <c r="U66" s="3"/>
      <c r="V66" s="3"/>
      <c r="W66" s="3"/>
      <c r="X66" s="3"/>
      <c r="Y66" s="3"/>
      <c r="Z66" s="3"/>
    </row>
    <row r="67" ht="15.75" customHeight="1">
      <c r="A67" s="3" t="s">
        <v>268</v>
      </c>
      <c r="B67" s="3" t="s">
        <v>269</v>
      </c>
      <c r="C67" s="3">
        <v>6.0</v>
      </c>
      <c r="D67" s="3" t="s">
        <v>270</v>
      </c>
      <c r="E67" s="3"/>
      <c r="F67" s="3"/>
      <c r="G67" s="3"/>
      <c r="H67" s="3"/>
      <c r="I67" s="3"/>
      <c r="J67" s="3"/>
      <c r="K67" s="3"/>
      <c r="L67" s="3"/>
      <c r="M67" s="3"/>
      <c r="N67" s="3"/>
      <c r="O67" s="3"/>
      <c r="P67" s="3"/>
      <c r="Q67" s="3"/>
      <c r="R67" s="3"/>
      <c r="S67" s="3"/>
      <c r="T67" s="3"/>
      <c r="U67" s="3"/>
      <c r="V67" s="3"/>
      <c r="W67" s="3"/>
      <c r="X67" s="3"/>
      <c r="Y67" s="3"/>
      <c r="Z67" s="3"/>
    </row>
    <row r="68" ht="15.75" customHeight="1">
      <c r="A68" s="3" t="s">
        <v>272</v>
      </c>
      <c r="B68" s="3" t="s">
        <v>273</v>
      </c>
      <c r="C68" s="3">
        <v>1.0</v>
      </c>
      <c r="D68" s="3" t="s">
        <v>275</v>
      </c>
      <c r="E68" s="3"/>
      <c r="F68" s="3"/>
      <c r="G68" s="3"/>
      <c r="H68" s="3"/>
      <c r="I68" s="3"/>
      <c r="J68" s="3"/>
      <c r="K68" s="3"/>
      <c r="L68" s="3"/>
      <c r="M68" s="3"/>
      <c r="N68" s="3"/>
      <c r="O68" s="3"/>
      <c r="P68" s="3"/>
      <c r="Q68" s="3"/>
      <c r="R68" s="3"/>
      <c r="S68" s="3"/>
      <c r="T68" s="3"/>
      <c r="U68" s="3"/>
      <c r="V68" s="3"/>
      <c r="W68" s="3"/>
      <c r="X68" s="3"/>
      <c r="Y68" s="3"/>
      <c r="Z68" s="3"/>
    </row>
    <row r="69" ht="15.75" customHeight="1">
      <c r="A69" s="3" t="s">
        <v>272</v>
      </c>
      <c r="B69" s="3" t="s">
        <v>276</v>
      </c>
      <c r="C69" s="3">
        <v>1.0</v>
      </c>
      <c r="D69" s="3" t="s">
        <v>278</v>
      </c>
      <c r="E69" s="3"/>
      <c r="F69" s="3"/>
      <c r="G69" s="3"/>
      <c r="H69" s="3"/>
      <c r="I69" s="3"/>
      <c r="J69" s="3"/>
      <c r="K69" s="3"/>
      <c r="L69" s="3"/>
      <c r="M69" s="3"/>
      <c r="N69" s="3"/>
      <c r="O69" s="3"/>
      <c r="P69" s="3"/>
      <c r="Q69" s="3"/>
      <c r="R69" s="3"/>
      <c r="S69" s="3"/>
      <c r="T69" s="3"/>
      <c r="U69" s="3"/>
      <c r="V69" s="3"/>
      <c r="W69" s="3"/>
      <c r="X69" s="3"/>
      <c r="Y69" s="3"/>
      <c r="Z69" s="3"/>
    </row>
    <row r="70" ht="15.75" customHeight="1">
      <c r="A70" s="3" t="s">
        <v>280</v>
      </c>
      <c r="B70" s="3" t="s">
        <v>276</v>
      </c>
      <c r="C70" s="3">
        <v>1.0</v>
      </c>
      <c r="D70" s="3" t="s">
        <v>281</v>
      </c>
      <c r="E70" s="3"/>
      <c r="F70" s="3"/>
      <c r="G70" s="3"/>
      <c r="H70" s="3"/>
      <c r="I70" s="3"/>
      <c r="J70" s="3"/>
      <c r="K70" s="3"/>
      <c r="L70" s="3"/>
      <c r="M70" s="3"/>
      <c r="N70" s="3"/>
      <c r="O70" s="3"/>
      <c r="P70" s="3"/>
      <c r="Q70" s="3"/>
      <c r="R70" s="3"/>
      <c r="S70" s="3"/>
      <c r="T70" s="3"/>
      <c r="U70" s="3"/>
      <c r="V70" s="3"/>
      <c r="W70" s="3"/>
      <c r="X70" s="3"/>
      <c r="Y70" s="3"/>
      <c r="Z70" s="3"/>
    </row>
    <row r="71" ht="15.75" customHeight="1">
      <c r="A71" s="3" t="s">
        <v>285</v>
      </c>
      <c r="B71" s="3" t="s">
        <v>286</v>
      </c>
      <c r="C71" s="3">
        <v>0.2</v>
      </c>
      <c r="D71" s="3" t="s">
        <v>287</v>
      </c>
      <c r="E71" s="3"/>
      <c r="F71" s="3"/>
      <c r="G71" s="3"/>
      <c r="H71" s="3"/>
      <c r="I71" s="3"/>
      <c r="J71" s="3"/>
      <c r="K71" s="3"/>
      <c r="L71" s="3"/>
      <c r="M71" s="3"/>
      <c r="N71" s="3"/>
      <c r="O71" s="3"/>
      <c r="P71" s="3"/>
      <c r="Q71" s="3"/>
      <c r="R71" s="3"/>
      <c r="S71" s="3"/>
      <c r="T71" s="3"/>
      <c r="U71" s="3"/>
      <c r="V71" s="3"/>
      <c r="W71" s="3"/>
      <c r="X71" s="3"/>
      <c r="Y71" s="3"/>
      <c r="Z71" s="3"/>
    </row>
    <row r="72" ht="15.75" customHeight="1">
      <c r="A72" s="3" t="s">
        <v>291</v>
      </c>
      <c r="B72" s="3" t="s">
        <v>292</v>
      </c>
      <c r="C72" s="3">
        <v>0.0</v>
      </c>
      <c r="D72" s="3" t="s">
        <v>293</v>
      </c>
      <c r="E72" s="3"/>
      <c r="F72" s="3"/>
      <c r="G72" s="3"/>
      <c r="H72" s="3"/>
      <c r="I72" s="3"/>
      <c r="J72" s="3"/>
      <c r="K72" s="3"/>
      <c r="L72" s="3"/>
      <c r="M72" s="3"/>
      <c r="N72" s="3"/>
      <c r="O72" s="3"/>
      <c r="P72" s="3"/>
      <c r="Q72" s="3"/>
      <c r="R72" s="3"/>
      <c r="S72" s="3"/>
      <c r="T72" s="3"/>
      <c r="U72" s="3"/>
      <c r="V72" s="3"/>
      <c r="W72" s="3"/>
      <c r="X72" s="3"/>
      <c r="Y72" s="3"/>
      <c r="Z72" s="3"/>
    </row>
    <row r="73" ht="15.75" customHeight="1">
      <c r="A73" s="3" t="s">
        <v>297</v>
      </c>
      <c r="B73" s="3" t="s">
        <v>298</v>
      </c>
      <c r="C73" s="3">
        <v>0.0</v>
      </c>
      <c r="D73" s="3" t="s">
        <v>299</v>
      </c>
      <c r="E73" s="3"/>
      <c r="F73" s="3"/>
      <c r="G73" s="3"/>
      <c r="H73" s="3"/>
      <c r="I73" s="3"/>
      <c r="J73" s="3"/>
      <c r="K73" s="3"/>
      <c r="L73" s="3"/>
      <c r="M73" s="3"/>
      <c r="N73" s="3"/>
      <c r="O73" s="3"/>
      <c r="P73" s="3"/>
      <c r="Q73" s="3"/>
      <c r="R73" s="3"/>
      <c r="S73" s="3"/>
      <c r="T73" s="3"/>
      <c r="U73" s="3"/>
      <c r="V73" s="3"/>
      <c r="W73" s="3"/>
      <c r="X73" s="3"/>
      <c r="Y73" s="3"/>
      <c r="Z73" s="3"/>
    </row>
    <row r="74" ht="15.75" customHeight="1">
      <c r="A74" s="3" t="s">
        <v>302</v>
      </c>
      <c r="B74" s="3" t="s">
        <v>303</v>
      </c>
      <c r="C74" s="3">
        <v>0.0</v>
      </c>
      <c r="D74" s="3" t="s">
        <v>304</v>
      </c>
      <c r="E74" s="3"/>
      <c r="F74" s="3"/>
      <c r="G74" s="3"/>
      <c r="H74" s="3"/>
      <c r="I74" s="3"/>
      <c r="J74" s="3"/>
      <c r="K74" s="3"/>
      <c r="L74" s="3"/>
      <c r="M74" s="3"/>
      <c r="N74" s="3"/>
      <c r="O74" s="3"/>
      <c r="P74" s="3"/>
      <c r="Q74" s="3"/>
      <c r="R74" s="3"/>
      <c r="S74" s="3"/>
      <c r="T74" s="3"/>
      <c r="U74" s="3"/>
      <c r="V74" s="3"/>
      <c r="W74" s="3"/>
      <c r="X74" s="3"/>
      <c r="Y74" s="3"/>
      <c r="Z74" s="3"/>
    </row>
    <row r="75" ht="15.75" customHeight="1">
      <c r="A75" s="3" t="s">
        <v>308</v>
      </c>
      <c r="B75" s="3" t="s">
        <v>196</v>
      </c>
      <c r="C75" s="3">
        <v>0.0</v>
      </c>
      <c r="D75" s="3" t="s">
        <v>309</v>
      </c>
      <c r="E75" s="3"/>
      <c r="F75" s="3"/>
      <c r="G75" s="3"/>
      <c r="H75" s="3"/>
      <c r="I75" s="3"/>
      <c r="J75" s="3"/>
      <c r="K75" s="3"/>
      <c r="L75" s="3"/>
      <c r="M75" s="3"/>
      <c r="N75" s="3"/>
      <c r="O75" s="3"/>
      <c r="P75" s="3"/>
      <c r="Q75" s="3"/>
      <c r="R75" s="3"/>
      <c r="S75" s="3"/>
      <c r="T75" s="3"/>
      <c r="U75" s="3"/>
      <c r="V75" s="3"/>
      <c r="W75" s="3"/>
      <c r="X75" s="3"/>
      <c r="Y75" s="3"/>
      <c r="Z75" s="3"/>
    </row>
    <row r="76" ht="15.75" customHeight="1">
      <c r="A76" s="3" t="s">
        <v>313</v>
      </c>
      <c r="B76" s="3" t="s">
        <v>207</v>
      </c>
      <c r="C76" s="3">
        <v>0.0</v>
      </c>
      <c r="D76" s="3" t="s">
        <v>316</v>
      </c>
      <c r="E76" s="3"/>
      <c r="F76" s="3"/>
      <c r="G76" s="3"/>
      <c r="H76" s="3"/>
      <c r="I76" s="3"/>
      <c r="J76" s="3"/>
      <c r="K76" s="3"/>
      <c r="L76" s="3"/>
      <c r="M76" s="3"/>
      <c r="N76" s="3"/>
      <c r="O76" s="3"/>
      <c r="P76" s="3"/>
      <c r="Q76" s="3"/>
      <c r="R76" s="3"/>
      <c r="S76" s="3"/>
      <c r="T76" s="3"/>
      <c r="U76" s="3"/>
      <c r="V76" s="3"/>
      <c r="W76" s="3"/>
      <c r="X76" s="3"/>
      <c r="Y76" s="3"/>
      <c r="Z76" s="3"/>
    </row>
    <row r="77" ht="15.75" customHeight="1">
      <c r="A77" s="3" t="s">
        <v>318</v>
      </c>
      <c r="B77" s="3" t="s">
        <v>320</v>
      </c>
      <c r="C77" s="3">
        <v>0.0</v>
      </c>
      <c r="D77" s="3" t="s">
        <v>321</v>
      </c>
      <c r="E77" s="3"/>
      <c r="F77" s="3"/>
      <c r="G77" s="3"/>
      <c r="H77" s="3"/>
      <c r="I77" s="3"/>
      <c r="J77" s="3"/>
      <c r="K77" s="3"/>
      <c r="L77" s="3"/>
      <c r="M77" s="3"/>
      <c r="N77" s="3"/>
      <c r="O77" s="3"/>
      <c r="P77" s="3"/>
      <c r="Q77" s="3"/>
      <c r="R77" s="3"/>
      <c r="S77" s="3"/>
      <c r="T77" s="3"/>
      <c r="U77" s="3"/>
      <c r="V77" s="3"/>
      <c r="W77" s="3"/>
      <c r="X77" s="3"/>
      <c r="Y77" s="3"/>
      <c r="Z77" s="3"/>
    </row>
    <row r="78" ht="15.75" customHeight="1">
      <c r="A78" s="3" t="s">
        <v>325</v>
      </c>
      <c r="B78" s="3" t="s">
        <v>326</v>
      </c>
      <c r="C78" s="3">
        <v>1.0</v>
      </c>
      <c r="D78" s="3" t="s">
        <v>327</v>
      </c>
      <c r="E78" s="3"/>
      <c r="F78" s="3"/>
      <c r="G78" s="3"/>
      <c r="H78" s="3"/>
      <c r="I78" s="3"/>
      <c r="J78" s="3"/>
      <c r="K78" s="3"/>
      <c r="L78" s="3"/>
      <c r="M78" s="3"/>
      <c r="N78" s="3"/>
      <c r="O78" s="3"/>
      <c r="P78" s="3"/>
      <c r="Q78" s="3"/>
      <c r="R78" s="3"/>
      <c r="S78" s="3"/>
      <c r="T78" s="3"/>
      <c r="U78" s="3"/>
      <c r="V78" s="3"/>
      <c r="W78" s="3"/>
      <c r="X78" s="3"/>
      <c r="Y78" s="3"/>
      <c r="Z78" s="3"/>
    </row>
    <row r="79" ht="15.75" customHeight="1">
      <c r="A79" s="3" t="s">
        <v>328</v>
      </c>
      <c r="B79" s="3" t="s">
        <v>217</v>
      </c>
      <c r="C79" s="3">
        <v>0.7</v>
      </c>
      <c r="D79" s="3" t="s">
        <v>329</v>
      </c>
      <c r="E79" s="3"/>
      <c r="F79" s="3"/>
      <c r="G79" s="3"/>
      <c r="H79" s="3"/>
      <c r="I79" s="3"/>
      <c r="J79" s="3"/>
      <c r="K79" s="3"/>
      <c r="L79" s="3"/>
      <c r="M79" s="3"/>
      <c r="N79" s="3"/>
      <c r="O79" s="3"/>
      <c r="P79" s="3"/>
      <c r="Q79" s="3"/>
      <c r="R79" s="3"/>
      <c r="S79" s="3"/>
      <c r="T79" s="3"/>
      <c r="U79" s="3"/>
      <c r="V79" s="3"/>
      <c r="W79" s="3"/>
      <c r="X79" s="3"/>
      <c r="Y79" s="3"/>
      <c r="Z79" s="3"/>
    </row>
    <row r="80" ht="15.75" customHeight="1">
      <c r="A80" s="3" t="s">
        <v>330</v>
      </c>
      <c r="B80" s="3" t="s">
        <v>231</v>
      </c>
      <c r="C80" s="3">
        <v>0.7</v>
      </c>
      <c r="D80" s="3" t="s">
        <v>331</v>
      </c>
      <c r="E80" s="3"/>
      <c r="F80" s="3"/>
      <c r="G80" s="3"/>
      <c r="H80" s="3"/>
      <c r="I80" s="3"/>
      <c r="J80" s="3"/>
      <c r="K80" s="3"/>
      <c r="L80" s="3"/>
      <c r="M80" s="3"/>
      <c r="N80" s="3"/>
      <c r="O80" s="3"/>
      <c r="P80" s="3"/>
      <c r="Q80" s="3"/>
      <c r="R80" s="3"/>
      <c r="S80" s="3"/>
      <c r="T80" s="3"/>
      <c r="U80" s="3"/>
      <c r="V80" s="3"/>
      <c r="W80" s="3"/>
      <c r="X80" s="3"/>
      <c r="Y80" s="3"/>
      <c r="Z80" s="3"/>
    </row>
    <row r="81" ht="15.75" customHeight="1">
      <c r="A81" s="3" t="s">
        <v>333</v>
      </c>
      <c r="B81" s="3" t="s">
        <v>244</v>
      </c>
      <c r="C81" s="3">
        <v>0.7</v>
      </c>
      <c r="D81" s="3" t="s">
        <v>334</v>
      </c>
      <c r="E81" s="3"/>
      <c r="F81" s="3"/>
      <c r="G81" s="3"/>
      <c r="H81" s="3"/>
      <c r="I81" s="3"/>
      <c r="J81" s="3"/>
      <c r="K81" s="3"/>
      <c r="L81" s="3"/>
      <c r="M81" s="3"/>
      <c r="N81" s="3"/>
      <c r="O81" s="3"/>
      <c r="P81" s="3"/>
      <c r="Q81" s="3"/>
      <c r="R81" s="3"/>
      <c r="S81" s="3"/>
      <c r="T81" s="3"/>
      <c r="U81" s="3"/>
      <c r="V81" s="3"/>
      <c r="W81" s="3"/>
      <c r="X81" s="3"/>
      <c r="Y81" s="3"/>
      <c r="Z81" s="3"/>
    </row>
    <row r="82" ht="15.75" customHeight="1">
      <c r="A82" s="3" t="s">
        <v>337</v>
      </c>
      <c r="B82" s="3" t="s">
        <v>338</v>
      </c>
      <c r="C82" s="3">
        <v>0.0</v>
      </c>
      <c r="D82" s="3" t="s">
        <v>339</v>
      </c>
      <c r="E82" s="3"/>
      <c r="F82" s="3"/>
      <c r="G82" s="3"/>
      <c r="H82" s="3"/>
      <c r="I82" s="3"/>
      <c r="J82" s="3"/>
      <c r="K82" s="3"/>
      <c r="L82" s="3"/>
      <c r="M82" s="3"/>
      <c r="N82" s="3"/>
      <c r="O82" s="3"/>
      <c r="P82" s="3"/>
      <c r="Q82" s="3"/>
      <c r="R82" s="3"/>
      <c r="S82" s="3"/>
      <c r="T82" s="3"/>
      <c r="U82" s="3"/>
      <c r="V82" s="3"/>
      <c r="W82" s="3"/>
      <c r="X82" s="3"/>
      <c r="Y82" s="3"/>
      <c r="Z82" s="3"/>
    </row>
    <row r="83" ht="15.75" customHeight="1">
      <c r="A83" s="3" t="s">
        <v>341</v>
      </c>
      <c r="B83" s="3" t="s">
        <v>254</v>
      </c>
      <c r="C83" s="3">
        <v>2048.0</v>
      </c>
      <c r="D83" s="3" t="s">
        <v>334</v>
      </c>
      <c r="E83" s="3"/>
      <c r="F83" s="3"/>
      <c r="G83" s="3"/>
      <c r="H83" s="3"/>
      <c r="I83" s="3"/>
      <c r="J83" s="3"/>
      <c r="K83" s="3"/>
      <c r="L83" s="3"/>
      <c r="M83" s="3"/>
      <c r="N83" s="3"/>
      <c r="O83" s="3"/>
      <c r="P83" s="3"/>
      <c r="Q83" s="3"/>
      <c r="R83" s="3"/>
      <c r="S83" s="3"/>
      <c r="T83" s="3"/>
      <c r="U83" s="3"/>
      <c r="V83" s="3"/>
      <c r="W83" s="3"/>
      <c r="X83" s="3"/>
      <c r="Y83" s="3"/>
      <c r="Z83" s="3"/>
    </row>
    <row r="84" ht="15.75" customHeight="1">
      <c r="A84" s="3" t="s">
        <v>342</v>
      </c>
      <c r="B84" s="3" t="s">
        <v>343</v>
      </c>
      <c r="C84" s="3" t="s">
        <v>185</v>
      </c>
      <c r="D84" s="3" t="s">
        <v>344</v>
      </c>
      <c r="E84" s="3"/>
      <c r="F84" s="3"/>
      <c r="G84" s="3"/>
      <c r="H84" s="3"/>
      <c r="I84" s="3"/>
      <c r="J84" s="3"/>
      <c r="K84" s="3"/>
      <c r="L84" s="3"/>
      <c r="M84" s="3"/>
      <c r="N84" s="3"/>
      <c r="O84" s="3"/>
      <c r="P84" s="3"/>
      <c r="Q84" s="3"/>
      <c r="R84" s="3"/>
      <c r="S84" s="3"/>
      <c r="T84" s="3"/>
      <c r="U84" s="3"/>
      <c r="V84" s="3"/>
      <c r="W84" s="3"/>
      <c r="X84" s="3"/>
      <c r="Y84" s="3"/>
      <c r="Z84" s="3"/>
    </row>
    <row r="85" ht="15.75" customHeight="1">
      <c r="A85" s="3" t="s">
        <v>346</v>
      </c>
      <c r="B85" s="3" t="s">
        <v>347</v>
      </c>
      <c r="C85" s="3" t="s">
        <v>185</v>
      </c>
      <c r="D85" s="3" t="s">
        <v>348</v>
      </c>
      <c r="E85" s="3"/>
      <c r="F85" s="3"/>
      <c r="G85" s="3"/>
      <c r="H85" s="3"/>
      <c r="I85" s="3"/>
      <c r="J85" s="3"/>
      <c r="K85" s="3"/>
      <c r="L85" s="3"/>
      <c r="M85" s="3"/>
      <c r="N85" s="3"/>
      <c r="O85" s="3"/>
      <c r="P85" s="3"/>
      <c r="Q85" s="3"/>
      <c r="R85" s="3"/>
      <c r="S85" s="3"/>
      <c r="T85" s="3"/>
      <c r="U85" s="3"/>
      <c r="V85" s="3"/>
      <c r="W85" s="3"/>
      <c r="X85" s="3"/>
      <c r="Y85" s="3"/>
      <c r="Z85" s="3"/>
    </row>
    <row r="86" ht="15.75" customHeight="1">
      <c r="A86" s="3" t="s">
        <v>351</v>
      </c>
      <c r="B86" s="3" t="s">
        <v>352</v>
      </c>
      <c r="C86" s="3" t="s">
        <v>185</v>
      </c>
      <c r="D86" s="3" t="s">
        <v>353</v>
      </c>
      <c r="E86" s="3"/>
      <c r="F86" s="3"/>
      <c r="G86" s="3"/>
      <c r="H86" s="3"/>
      <c r="I86" s="3"/>
      <c r="J86" s="3"/>
      <c r="K86" s="3"/>
      <c r="L86" s="3"/>
      <c r="M86" s="3"/>
      <c r="N86" s="3"/>
      <c r="O86" s="3"/>
      <c r="P86" s="3"/>
      <c r="Q86" s="3"/>
      <c r="R86" s="3"/>
      <c r="S86" s="3"/>
      <c r="T86" s="3"/>
      <c r="U86" s="3"/>
      <c r="V86" s="3"/>
      <c r="W86" s="3"/>
      <c r="X86" s="3"/>
      <c r="Y86" s="3"/>
      <c r="Z86" s="3"/>
    </row>
    <row r="87" ht="15.75" customHeight="1">
      <c r="A87" s="3" t="s">
        <v>355</v>
      </c>
      <c r="B87" s="3" t="s">
        <v>356</v>
      </c>
      <c r="C87" s="3" t="s">
        <v>185</v>
      </c>
      <c r="D87" s="3" t="s">
        <v>357</v>
      </c>
      <c r="E87" s="3"/>
      <c r="F87" s="3"/>
      <c r="G87" s="3"/>
      <c r="H87" s="3"/>
      <c r="I87" s="3"/>
      <c r="J87" s="3"/>
      <c r="K87" s="3"/>
      <c r="L87" s="3"/>
      <c r="M87" s="3"/>
      <c r="N87" s="3"/>
      <c r="O87" s="3"/>
      <c r="P87" s="3"/>
      <c r="Q87" s="3"/>
      <c r="R87" s="3"/>
      <c r="S87" s="3"/>
      <c r="T87" s="3"/>
      <c r="U87" s="3"/>
      <c r="V87" s="3"/>
      <c r="W87" s="3"/>
      <c r="X87" s="3"/>
      <c r="Y87" s="3"/>
      <c r="Z87" s="3"/>
    </row>
    <row r="88" ht="15.75" customHeight="1">
      <c r="A88" s="3" t="s">
        <v>358</v>
      </c>
      <c r="B88" s="3" t="s">
        <v>360</v>
      </c>
      <c r="C88" s="3">
        <v>0.0</v>
      </c>
      <c r="D88" s="3" t="s">
        <v>361</v>
      </c>
      <c r="E88" s="3"/>
      <c r="F88" s="3"/>
      <c r="G88" s="3"/>
      <c r="H88" s="3"/>
      <c r="I88" s="3"/>
      <c r="J88" s="3"/>
      <c r="K88" s="3"/>
      <c r="L88" s="3"/>
      <c r="M88" s="3"/>
      <c r="N88" s="3"/>
      <c r="O88" s="3"/>
      <c r="P88" s="3"/>
      <c r="Q88" s="3"/>
      <c r="R88" s="3"/>
      <c r="S88" s="3"/>
      <c r="T88" s="3"/>
      <c r="U88" s="3"/>
      <c r="V88" s="3"/>
      <c r="W88" s="3"/>
      <c r="X88" s="3"/>
      <c r="Y88" s="3"/>
      <c r="Z88" s="3"/>
    </row>
    <row r="89" ht="15.75" customHeight="1">
      <c r="A89" s="3" t="s">
        <v>364</v>
      </c>
      <c r="B89" s="3" t="s">
        <v>365</v>
      </c>
      <c r="C89" s="3" t="s">
        <v>367</v>
      </c>
      <c r="D89" s="3" t="s">
        <v>368</v>
      </c>
      <c r="E89" s="3"/>
      <c r="F89" s="3"/>
      <c r="G89" s="3"/>
      <c r="H89" s="3"/>
      <c r="I89" s="3"/>
      <c r="J89" s="3"/>
      <c r="K89" s="3"/>
      <c r="L89" s="3"/>
      <c r="M89" s="3"/>
      <c r="N89" s="3"/>
      <c r="O89" s="3"/>
      <c r="P89" s="3"/>
      <c r="Q89" s="3"/>
      <c r="R89" s="3"/>
      <c r="S89" s="3"/>
      <c r="T89" s="3"/>
      <c r="U89" s="3"/>
      <c r="V89" s="3"/>
      <c r="W89" s="3"/>
      <c r="X89" s="3"/>
      <c r="Y89" s="3"/>
      <c r="Z89" s="3"/>
    </row>
    <row r="90" ht="15.75" customHeight="1">
      <c r="A90" s="3" t="s">
        <v>370</v>
      </c>
      <c r="B90" s="3" t="s">
        <v>371</v>
      </c>
      <c r="C90" s="3">
        <v>0.0</v>
      </c>
      <c r="D90" s="3" t="s">
        <v>372</v>
      </c>
      <c r="E90" s="3"/>
      <c r="F90" s="3"/>
      <c r="G90" s="3"/>
      <c r="H90" s="3"/>
      <c r="I90" s="3"/>
      <c r="J90" s="3"/>
      <c r="K90" s="3"/>
      <c r="L90" s="3"/>
      <c r="M90" s="3"/>
      <c r="N90" s="3"/>
      <c r="O90" s="3"/>
      <c r="P90" s="3"/>
      <c r="Q90" s="3"/>
      <c r="R90" s="3"/>
      <c r="S90" s="3"/>
      <c r="T90" s="3"/>
      <c r="U90" s="3"/>
      <c r="V90" s="3"/>
      <c r="W90" s="3"/>
      <c r="X90" s="3"/>
      <c r="Y90" s="3"/>
      <c r="Z90" s="3"/>
    </row>
    <row r="91" ht="15.75" customHeight="1">
      <c r="A91" s="3" t="s">
        <v>370</v>
      </c>
      <c r="B91" s="3" t="s">
        <v>373</v>
      </c>
      <c r="C91" s="3">
        <v>0.0</v>
      </c>
      <c r="D91" s="3" t="s">
        <v>375</v>
      </c>
      <c r="E91" s="3"/>
      <c r="F91" s="3"/>
      <c r="G91" s="3"/>
      <c r="H91" s="3"/>
      <c r="I91" s="3"/>
      <c r="J91" s="3"/>
      <c r="K91" s="3"/>
      <c r="L91" s="3"/>
      <c r="M91" s="3"/>
      <c r="N91" s="3"/>
      <c r="O91" s="3"/>
      <c r="P91" s="3"/>
      <c r="Q91" s="3"/>
      <c r="R91" s="3"/>
      <c r="S91" s="3"/>
      <c r="T91" s="3"/>
      <c r="U91" s="3"/>
      <c r="V91" s="3"/>
      <c r="W91" s="3"/>
      <c r="X91" s="3"/>
      <c r="Y91" s="3"/>
      <c r="Z91" s="3"/>
    </row>
    <row r="92" ht="15.75" customHeight="1">
      <c r="A92" s="3" t="s">
        <v>379</v>
      </c>
      <c r="B92" s="3" t="s">
        <v>380</v>
      </c>
      <c r="C92" s="3" t="s">
        <v>381</v>
      </c>
      <c r="D92" s="3" t="s">
        <v>382</v>
      </c>
      <c r="E92" s="3"/>
      <c r="F92" s="3"/>
      <c r="G92" s="3"/>
      <c r="H92" s="3"/>
      <c r="I92" s="3"/>
      <c r="J92" s="3"/>
      <c r="K92" s="3"/>
      <c r="L92" s="3"/>
      <c r="M92" s="3"/>
      <c r="N92" s="3"/>
      <c r="O92" s="3"/>
      <c r="P92" s="3"/>
      <c r="Q92" s="3"/>
      <c r="R92" s="3"/>
      <c r="S92" s="3"/>
      <c r="T92" s="3"/>
      <c r="U92" s="3"/>
      <c r="V92" s="3"/>
      <c r="W92" s="3"/>
      <c r="X92" s="3"/>
      <c r="Y92" s="3"/>
      <c r="Z92" s="3"/>
    </row>
    <row r="93" ht="15.75" customHeight="1">
      <c r="A93" s="3" t="s">
        <v>385</v>
      </c>
      <c r="B93" s="3" t="s">
        <v>319</v>
      </c>
      <c r="C93" s="3">
        <f>-10 -9 -8 -7 -6 -5 -4 -3</f>
        <v>-52</v>
      </c>
      <c r="D93" s="3" t="s">
        <v>388</v>
      </c>
      <c r="E93" s="3"/>
      <c r="F93" s="3"/>
      <c r="G93" s="3"/>
      <c r="H93" s="3"/>
      <c r="I93" s="3"/>
      <c r="J93" s="3"/>
      <c r="K93" s="3"/>
      <c r="L93" s="3"/>
      <c r="M93" s="3"/>
      <c r="N93" s="3"/>
      <c r="O93" s="3"/>
      <c r="P93" s="3"/>
      <c r="Q93" s="3"/>
      <c r="R93" s="3"/>
      <c r="S93" s="3"/>
      <c r="T93" s="3"/>
      <c r="U93" s="3"/>
      <c r="V93" s="3"/>
      <c r="W93" s="3"/>
      <c r="X93" s="3"/>
      <c r="Y93" s="3"/>
      <c r="Z93" s="3"/>
    </row>
    <row r="94" ht="15.75" customHeight="1">
      <c r="A94" s="3" t="s">
        <v>389</v>
      </c>
      <c r="B94" s="3" t="s">
        <v>354</v>
      </c>
      <c r="C94" s="45">
        <v>2.65625E10</v>
      </c>
      <c r="D94" s="3" t="s">
        <v>390</v>
      </c>
      <c r="E94" s="3"/>
      <c r="F94" s="3"/>
      <c r="G94" s="3"/>
      <c r="H94" s="3"/>
      <c r="I94" s="3"/>
      <c r="J94" s="3"/>
      <c r="K94" s="3"/>
      <c r="L94" s="3"/>
      <c r="M94" s="3"/>
      <c r="N94" s="3"/>
      <c r="O94" s="3"/>
      <c r="P94" s="3"/>
      <c r="Q94" s="3"/>
      <c r="R94" s="3"/>
      <c r="S94" s="3"/>
      <c r="T94" s="3"/>
      <c r="U94" s="3"/>
      <c r="V94" s="3"/>
      <c r="W94" s="3"/>
      <c r="X94" s="3"/>
      <c r="Y94" s="3"/>
      <c r="Z94" s="3"/>
    </row>
    <row r="95" ht="15.75" customHeight="1">
      <c r="A95" s="3" t="s">
        <v>391</v>
      </c>
      <c r="B95" s="3" t="s">
        <v>369</v>
      </c>
      <c r="C95" s="45">
        <v>1.0625E11</v>
      </c>
      <c r="D95" s="3" t="s">
        <v>393</v>
      </c>
      <c r="E95" s="3"/>
      <c r="F95" s="3"/>
      <c r="G95" s="3"/>
      <c r="H95" s="3"/>
      <c r="I95" s="3"/>
      <c r="J95" s="3"/>
      <c r="K95" s="3"/>
      <c r="L95" s="3"/>
      <c r="M95" s="3"/>
      <c r="N95" s="3"/>
      <c r="O95" s="3"/>
      <c r="P95" s="3"/>
      <c r="Q95" s="3"/>
      <c r="R95" s="3"/>
      <c r="S95" s="3"/>
      <c r="T95" s="3"/>
      <c r="U95" s="3"/>
      <c r="V95" s="3"/>
      <c r="W95" s="3"/>
      <c r="X95" s="3"/>
      <c r="Y95" s="3"/>
      <c r="Z95" s="3"/>
    </row>
    <row r="96" ht="15.75" customHeight="1">
      <c r="A96" s="3" t="s">
        <v>395</v>
      </c>
      <c r="B96" s="3" t="s">
        <v>340</v>
      </c>
      <c r="C96" s="45">
        <v>2.65625E10</v>
      </c>
      <c r="D96" s="3" t="s">
        <v>396</v>
      </c>
      <c r="E96" s="3"/>
      <c r="F96" s="3"/>
      <c r="G96" s="3"/>
      <c r="H96" s="3"/>
      <c r="I96" s="3"/>
      <c r="J96" s="3"/>
      <c r="K96" s="3"/>
      <c r="L96" s="3"/>
      <c r="M96" s="3"/>
      <c r="N96" s="3"/>
      <c r="O96" s="3"/>
      <c r="P96" s="3"/>
      <c r="Q96" s="3"/>
      <c r="R96" s="3"/>
      <c r="S96" s="3"/>
      <c r="T96" s="3"/>
      <c r="U96" s="3"/>
      <c r="V96" s="3"/>
      <c r="W96" s="3"/>
      <c r="X96" s="3"/>
      <c r="Y96" s="3"/>
      <c r="Z96" s="3"/>
    </row>
    <row r="97" ht="15.75" customHeight="1">
      <c r="A97" s="3" t="s">
        <v>397</v>
      </c>
      <c r="B97" s="3" t="s">
        <v>343</v>
      </c>
      <c r="C97" s="3" t="s">
        <v>185</v>
      </c>
      <c r="D97" s="3" t="s">
        <v>398</v>
      </c>
      <c r="E97" s="3"/>
      <c r="F97" s="3"/>
      <c r="G97" s="3"/>
      <c r="H97" s="3"/>
      <c r="I97" s="3"/>
      <c r="J97" s="3"/>
      <c r="K97" s="3"/>
      <c r="L97" s="3"/>
      <c r="M97" s="3"/>
      <c r="N97" s="3"/>
      <c r="O97" s="3"/>
      <c r="P97" s="3"/>
      <c r="Q97" s="3"/>
      <c r="R97" s="3"/>
      <c r="S97" s="3"/>
      <c r="T97" s="3"/>
      <c r="U97" s="3"/>
      <c r="V97" s="3"/>
      <c r="W97" s="3"/>
      <c r="X97" s="3"/>
      <c r="Y97" s="3"/>
      <c r="Z97" s="3"/>
    </row>
    <row r="98" ht="15.75" customHeight="1">
      <c r="A98" s="3" t="s">
        <v>399</v>
      </c>
      <c r="B98" s="3" t="s">
        <v>347</v>
      </c>
      <c r="C98" s="3" t="s">
        <v>185</v>
      </c>
      <c r="D98" s="3" t="s">
        <v>400</v>
      </c>
      <c r="E98" s="3"/>
      <c r="F98" s="3"/>
      <c r="G98" s="3"/>
      <c r="H98" s="3"/>
      <c r="I98" s="3"/>
      <c r="J98" s="3"/>
      <c r="K98" s="3"/>
      <c r="L98" s="3"/>
      <c r="M98" s="3"/>
      <c r="N98" s="3"/>
      <c r="O98" s="3"/>
      <c r="P98" s="3"/>
      <c r="Q98" s="3"/>
      <c r="R98" s="3"/>
      <c r="S98" s="3"/>
      <c r="T98" s="3"/>
      <c r="U98" s="3"/>
      <c r="V98" s="3"/>
      <c r="W98" s="3"/>
      <c r="X98" s="3"/>
      <c r="Y98" s="3"/>
      <c r="Z98" s="3"/>
    </row>
    <row r="99" ht="15.75" customHeight="1">
      <c r="A99" s="3" t="s">
        <v>401</v>
      </c>
      <c r="B99" s="3" t="s">
        <v>402</v>
      </c>
      <c r="C99" s="3">
        <v>0.0</v>
      </c>
      <c r="D99" s="3" t="s">
        <v>403</v>
      </c>
      <c r="E99" s="3"/>
      <c r="F99" s="3"/>
      <c r="G99" s="3"/>
      <c r="H99" s="3"/>
      <c r="I99" s="3"/>
      <c r="J99" s="3"/>
      <c r="K99" s="3"/>
      <c r="L99" s="3"/>
      <c r="M99" s="3"/>
      <c r="N99" s="3"/>
      <c r="O99" s="3"/>
      <c r="P99" s="3"/>
      <c r="Q99" s="3"/>
      <c r="R99" s="3"/>
      <c r="S99" s="3"/>
      <c r="T99" s="3"/>
      <c r="U99" s="3"/>
      <c r="V99" s="3"/>
      <c r="W99" s="3"/>
      <c r="X99" s="3"/>
      <c r="Y99" s="3"/>
      <c r="Z99" s="3"/>
    </row>
    <row r="100" ht="15.75" customHeight="1">
      <c r="A100" s="3" t="s">
        <v>404</v>
      </c>
      <c r="B100" s="3" t="s">
        <v>405</v>
      </c>
      <c r="C100" s="3">
        <v>0.0</v>
      </c>
      <c r="D100" s="3" t="s">
        <v>406</v>
      </c>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t="s">
        <v>407</v>
      </c>
      <c r="B101" s="3" t="s">
        <v>57</v>
      </c>
      <c r="C101" s="3">
        <v>0.413</v>
      </c>
      <c r="D101" s="3" t="s">
        <v>59</v>
      </c>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t="s">
        <v>409</v>
      </c>
      <c r="B102" s="3" t="s">
        <v>62</v>
      </c>
      <c r="C102" s="3">
        <v>0.413</v>
      </c>
      <c r="D102" s="3" t="s">
        <v>64</v>
      </c>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t="s">
        <v>410</v>
      </c>
      <c r="B103" s="3" t="s">
        <v>69</v>
      </c>
      <c r="C103" s="3">
        <v>0.608</v>
      </c>
      <c r="D103" s="3" t="s">
        <v>71</v>
      </c>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t="s">
        <v>411</v>
      </c>
      <c r="B104" s="3" t="s">
        <v>178</v>
      </c>
      <c r="C104" s="3">
        <v>0.413</v>
      </c>
      <c r="D104" s="3" t="s">
        <v>412</v>
      </c>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t="s">
        <v>413</v>
      </c>
      <c r="B105" s="3" t="s">
        <v>184</v>
      </c>
      <c r="C105" s="3">
        <v>0.608</v>
      </c>
      <c r="D105" s="3" t="s">
        <v>414</v>
      </c>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t="s">
        <v>415</v>
      </c>
      <c r="B106" s="3" t="s">
        <v>165</v>
      </c>
      <c r="C106" s="3">
        <v>4.0</v>
      </c>
      <c r="D106" s="3" t="s">
        <v>416</v>
      </c>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t="s">
        <v>417</v>
      </c>
      <c r="B107" s="3" t="s">
        <v>102</v>
      </c>
      <c r="C107" s="3">
        <v>1.0E-4</v>
      </c>
      <c r="D107" s="3" t="s">
        <v>418</v>
      </c>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t="s">
        <v>420</v>
      </c>
      <c r="B108" s="3" t="s">
        <v>89</v>
      </c>
      <c r="C108" s="3">
        <v>0.0</v>
      </c>
      <c r="D108" s="3" t="s">
        <v>421</v>
      </c>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t="s">
        <v>422</v>
      </c>
      <c r="B109" s="3" t="s">
        <v>73</v>
      </c>
      <c r="C109" s="3">
        <v>0.0</v>
      </c>
      <c r="D109" s="3" t="s">
        <v>423</v>
      </c>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t="s">
        <v>425</v>
      </c>
      <c r="B110" s="3" t="s">
        <v>427</v>
      </c>
      <c r="C110" s="3">
        <v>0.0</v>
      </c>
      <c r="D110" s="3" t="s">
        <v>428</v>
      </c>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t="s">
        <v>429</v>
      </c>
      <c r="B111" s="3" t="s">
        <v>312</v>
      </c>
      <c r="C111" s="3">
        <v>0.01</v>
      </c>
      <c r="D111" s="3" t="s">
        <v>430</v>
      </c>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t="s">
        <v>433</v>
      </c>
      <c r="B112" s="3" t="s">
        <v>323</v>
      </c>
      <c r="C112" s="3">
        <v>0.02</v>
      </c>
      <c r="D112" s="3" t="s">
        <v>434</v>
      </c>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t="s">
        <v>435</v>
      </c>
      <c r="B113" s="3" t="s">
        <v>345</v>
      </c>
      <c r="C113" s="45">
        <v>4.0E-9</v>
      </c>
      <c r="D113" s="3" t="s">
        <v>436</v>
      </c>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t="s">
        <v>437</v>
      </c>
      <c r="B114" s="3" t="s">
        <v>359</v>
      </c>
      <c r="C114" s="3">
        <v>33.0</v>
      </c>
      <c r="D114" s="3" t="s">
        <v>438</v>
      </c>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t="s">
        <v>439</v>
      </c>
      <c r="B115" s="3" t="s">
        <v>374</v>
      </c>
      <c r="C115" s="3">
        <v>0.95</v>
      </c>
      <c r="D115" s="3" t="s">
        <v>440</v>
      </c>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t="s">
        <v>441</v>
      </c>
      <c r="B116" s="3" t="s">
        <v>169</v>
      </c>
      <c r="C116" s="3">
        <v>32.0</v>
      </c>
      <c r="D116" s="3" t="s">
        <v>442</v>
      </c>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t="s">
        <v>443</v>
      </c>
      <c r="B117" s="3" t="s">
        <v>162</v>
      </c>
      <c r="C117" s="3" t="s">
        <v>160</v>
      </c>
      <c r="D117" s="3" t="s">
        <v>444</v>
      </c>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t="s">
        <v>445</v>
      </c>
      <c r="B118" s="3" t="s">
        <v>156</v>
      </c>
      <c r="C118" s="3">
        <v>0.0</v>
      </c>
      <c r="D118" s="3" t="s">
        <v>446</v>
      </c>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t="s">
        <v>447</v>
      </c>
      <c r="B119" s="3" t="s">
        <v>274</v>
      </c>
      <c r="C119" s="3">
        <v>0.75</v>
      </c>
      <c r="D119" s="3" t="s">
        <v>449</v>
      </c>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t="s">
        <v>450</v>
      </c>
      <c r="B120" s="3" t="s">
        <v>300</v>
      </c>
      <c r="C120" s="3">
        <v>-0.75</v>
      </c>
      <c r="D120" s="3" t="s">
        <v>451</v>
      </c>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t="s">
        <v>452</v>
      </c>
      <c r="B121" s="3" t="s">
        <v>453</v>
      </c>
      <c r="C121" s="3" t="s">
        <v>185</v>
      </c>
      <c r="D121" s="3" t="s">
        <v>454</v>
      </c>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t="s">
        <v>455</v>
      </c>
      <c r="B122" s="3" t="s">
        <v>457</v>
      </c>
      <c r="C122" s="3" t="s">
        <v>185</v>
      </c>
      <c r="D122" s="3" t="s">
        <v>458</v>
      </c>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t="s">
        <v>459</v>
      </c>
      <c r="B123" s="3" t="s">
        <v>48</v>
      </c>
      <c r="C123" s="3" t="s">
        <v>49</v>
      </c>
      <c r="D123" s="3" t="s">
        <v>50</v>
      </c>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t="s">
        <v>460</v>
      </c>
      <c r="B124" s="3" t="s">
        <v>117</v>
      </c>
      <c r="C124" s="3" t="s">
        <v>462</v>
      </c>
      <c r="D124" s="3" t="s">
        <v>463</v>
      </c>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t="s">
        <v>464</v>
      </c>
      <c r="B125" s="3" t="s">
        <v>127</v>
      </c>
      <c r="C125" s="3">
        <v>0.0</v>
      </c>
      <c r="D125" s="3" t="s">
        <v>465</v>
      </c>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t="s">
        <v>467</v>
      </c>
      <c r="B126" s="3" t="s">
        <v>138</v>
      </c>
      <c r="C126" s="3">
        <v>0.0</v>
      </c>
      <c r="D126" s="3" t="s">
        <v>468</v>
      </c>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t="s">
        <v>469</v>
      </c>
      <c r="B127" s="3" t="s">
        <v>470</v>
      </c>
      <c r="C127" s="3">
        <v>0.0</v>
      </c>
      <c r="D127" s="3" t="s">
        <v>471</v>
      </c>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t="s">
        <v>472</v>
      </c>
      <c r="B128" s="3" t="s">
        <v>53</v>
      </c>
      <c r="C128" s="3" t="s">
        <v>54</v>
      </c>
      <c r="D128" s="3" t="s">
        <v>55</v>
      </c>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t="s">
        <v>474</v>
      </c>
      <c r="B129" s="3" t="s">
        <v>290</v>
      </c>
      <c r="C129" s="3">
        <v>50.0</v>
      </c>
      <c r="D129" s="3" t="s">
        <v>475</v>
      </c>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t="s">
        <v>476</v>
      </c>
      <c r="B130" s="3" t="s">
        <v>181</v>
      </c>
      <c r="C130" s="3">
        <v>0.008</v>
      </c>
      <c r="D130" s="3" t="s">
        <v>477</v>
      </c>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t="s">
        <v>478</v>
      </c>
      <c r="B131" s="3" t="s">
        <v>145</v>
      </c>
      <c r="C131" s="3">
        <v>50.0</v>
      </c>
      <c r="D131" s="3" t="s">
        <v>186</v>
      </c>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t="s">
        <v>479</v>
      </c>
      <c r="B132" s="3" t="s">
        <v>75</v>
      </c>
      <c r="C132" s="3" t="s">
        <v>480</v>
      </c>
      <c r="D132" s="3" t="s">
        <v>77</v>
      </c>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t="s">
        <v>481</v>
      </c>
      <c r="B133" s="3" t="s">
        <v>307</v>
      </c>
      <c r="C133" s="3">
        <v>0.0</v>
      </c>
      <c r="D133" s="3" t="s">
        <v>482</v>
      </c>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t="s">
        <v>484</v>
      </c>
      <c r="B134" s="3" t="s">
        <v>317</v>
      </c>
      <c r="C134" s="3">
        <v>0.0</v>
      </c>
      <c r="D134" s="3" t="s">
        <v>485</v>
      </c>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t="s">
        <v>486</v>
      </c>
      <c r="B135" s="3" t="s">
        <v>81</v>
      </c>
      <c r="C135" s="3" t="s">
        <v>480</v>
      </c>
      <c r="D135" s="3" t="s">
        <v>82</v>
      </c>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t="s">
        <v>487</v>
      </c>
      <c r="B136" s="3" t="s">
        <v>85</v>
      </c>
      <c r="C136" s="3" t="s">
        <v>480</v>
      </c>
      <c r="D136" s="3" t="s">
        <v>87</v>
      </c>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t="s">
        <v>488</v>
      </c>
      <c r="B137" s="3" t="s">
        <v>92</v>
      </c>
      <c r="C137" s="3" t="s">
        <v>480</v>
      </c>
      <c r="D137" s="3" t="s">
        <v>94</v>
      </c>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t="s">
        <v>489</v>
      </c>
      <c r="B138" s="3" t="s">
        <v>98</v>
      </c>
      <c r="C138" s="3" t="s">
        <v>99</v>
      </c>
      <c r="D138" s="3" t="s">
        <v>101</v>
      </c>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t="s">
        <v>491</v>
      </c>
      <c r="B139" s="3" t="s">
        <v>104</v>
      </c>
      <c r="C139" s="3">
        <v>0.006141</v>
      </c>
      <c r="D139" s="3" t="s">
        <v>106</v>
      </c>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t="s">
        <v>492</v>
      </c>
      <c r="B140" s="3" t="s">
        <v>109</v>
      </c>
      <c r="C140" s="3">
        <v>78.2</v>
      </c>
      <c r="D140" s="3" t="s">
        <v>110</v>
      </c>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t="s">
        <v>494</v>
      </c>
      <c r="B141" s="3" t="s">
        <v>495</v>
      </c>
      <c r="C141" s="3">
        <v>0.0</v>
      </c>
      <c r="D141" s="3" t="s">
        <v>496</v>
      </c>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t="s">
        <v>497</v>
      </c>
      <c r="B142" s="3" t="s">
        <v>221</v>
      </c>
      <c r="C142" s="3" t="s">
        <v>498</v>
      </c>
      <c r="D142" s="3" t="s">
        <v>500</v>
      </c>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t="s">
        <v>501</v>
      </c>
      <c r="B143" s="3" t="s">
        <v>233</v>
      </c>
      <c r="C143" s="3">
        <v>0.006191</v>
      </c>
      <c r="D143" s="3" t="s">
        <v>502</v>
      </c>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t="s">
        <v>503</v>
      </c>
      <c r="B144" s="3" t="s">
        <v>246</v>
      </c>
      <c r="C144" s="3">
        <v>109.8</v>
      </c>
      <c r="D144" s="3" t="s">
        <v>504</v>
      </c>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t="s">
        <v>505</v>
      </c>
      <c r="B145" s="3" t="s">
        <v>257</v>
      </c>
      <c r="C145" s="3">
        <v>151.0</v>
      </c>
      <c r="D145" s="3" t="s">
        <v>506</v>
      </c>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t="s">
        <v>507</v>
      </c>
      <c r="B146" s="3" t="s">
        <v>271</v>
      </c>
      <c r="C146" s="3">
        <v>72.0</v>
      </c>
      <c r="D146" s="3" t="s">
        <v>508</v>
      </c>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t="s">
        <v>509</v>
      </c>
      <c r="B147" s="3" t="s">
        <v>284</v>
      </c>
      <c r="C147" s="3">
        <v>72.0</v>
      </c>
      <c r="D147" s="3" t="s">
        <v>510</v>
      </c>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t="s">
        <v>511</v>
      </c>
      <c r="B148" s="3" t="s">
        <v>296</v>
      </c>
      <c r="C148" s="3">
        <v>151.0</v>
      </c>
      <c r="D148" s="3" t="s">
        <v>512</v>
      </c>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t="s">
        <v>513</v>
      </c>
      <c r="B149" s="3" t="s">
        <v>131</v>
      </c>
      <c r="C149" s="3" t="s">
        <v>514</v>
      </c>
      <c r="D149" s="3" t="s">
        <v>515</v>
      </c>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t="s">
        <v>516</v>
      </c>
      <c r="B150" s="3" t="s">
        <v>517</v>
      </c>
      <c r="C150" s="3">
        <v>1.0</v>
      </c>
      <c r="D150" s="3" t="s">
        <v>518</v>
      </c>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t="s">
        <v>519</v>
      </c>
      <c r="B151" s="3" t="s">
        <v>136</v>
      </c>
      <c r="C151" s="3">
        <v>4.0</v>
      </c>
      <c r="D151" s="3" t="s">
        <v>520</v>
      </c>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t="s">
        <v>521</v>
      </c>
      <c r="B152" s="3" t="s">
        <v>157</v>
      </c>
      <c r="C152" s="3">
        <v>4.0</v>
      </c>
      <c r="D152" s="3" t="s">
        <v>522</v>
      </c>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t="s">
        <v>523</v>
      </c>
      <c r="B153" s="3" t="s">
        <v>164</v>
      </c>
      <c r="C153" s="3">
        <v>4.0</v>
      </c>
      <c r="D153" s="3" t="s">
        <v>524</v>
      </c>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t="s">
        <v>525</v>
      </c>
      <c r="B154" s="3" t="s">
        <v>179</v>
      </c>
      <c r="C154" s="3">
        <v>4.0</v>
      </c>
      <c r="D154" s="3" t="s">
        <v>526</v>
      </c>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t="s">
        <v>527</v>
      </c>
      <c r="B155" s="3" t="s">
        <v>528</v>
      </c>
      <c r="C155" s="3">
        <v>0.473</v>
      </c>
      <c r="D155" s="3" t="s">
        <v>529</v>
      </c>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t="s">
        <v>530</v>
      </c>
      <c r="B156" s="3" t="s">
        <v>531</v>
      </c>
      <c r="C156" s="3">
        <v>4.0</v>
      </c>
      <c r="D156" s="3" t="s">
        <v>532</v>
      </c>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t="s">
        <v>533</v>
      </c>
      <c r="B157" s="3" t="s">
        <v>534</v>
      </c>
      <c r="C157" s="45">
        <v>5.3125E10</v>
      </c>
      <c r="D157" s="3" t="s">
        <v>535</v>
      </c>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t="s">
        <v>536</v>
      </c>
      <c r="B158" s="3" t="s">
        <v>537</v>
      </c>
      <c r="C158" s="45">
        <v>6.1625E10</v>
      </c>
      <c r="D158" s="3" t="s">
        <v>538</v>
      </c>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t="s">
        <v>539</v>
      </c>
      <c r="B159" s="3" t="s">
        <v>216</v>
      </c>
      <c r="C159" s="3">
        <v>0.0</v>
      </c>
      <c r="D159" s="3" t="s">
        <v>540</v>
      </c>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t="s">
        <v>542</v>
      </c>
      <c r="B160" s="3" t="s">
        <v>229</v>
      </c>
      <c r="C160" s="3">
        <v>0.618</v>
      </c>
      <c r="D160" s="3" t="s">
        <v>543</v>
      </c>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t="s">
        <v>544</v>
      </c>
      <c r="B161" s="3" t="s">
        <v>262</v>
      </c>
      <c r="C161" s="3">
        <v>-1.0</v>
      </c>
      <c r="D161" s="3" t="s">
        <v>545</v>
      </c>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t="s">
        <v>546</v>
      </c>
      <c r="B162" s="3" t="s">
        <v>547</v>
      </c>
      <c r="C162" s="3">
        <v>1.0</v>
      </c>
      <c r="D162" s="3" t="s">
        <v>548</v>
      </c>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t="s">
        <v>549</v>
      </c>
      <c r="B163" s="3" t="s">
        <v>550</v>
      </c>
      <c r="C163" s="3">
        <v>1.0</v>
      </c>
      <c r="D163" s="3" t="s">
        <v>548</v>
      </c>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t="s">
        <v>551</v>
      </c>
      <c r="B164" s="3" t="s">
        <v>552</v>
      </c>
      <c r="C164" s="3">
        <v>0.0</v>
      </c>
      <c r="D164" s="3" t="s">
        <v>553</v>
      </c>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t="s">
        <v>554</v>
      </c>
      <c r="B165" s="3" t="s">
        <v>167</v>
      </c>
      <c r="C165" s="3">
        <v>0.0</v>
      </c>
      <c r="D165" s="3" t="s">
        <v>555</v>
      </c>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t="s">
        <v>556</v>
      </c>
      <c r="B166" s="3" t="s">
        <v>279</v>
      </c>
      <c r="C166" s="3">
        <v>0.0</v>
      </c>
      <c r="D166" s="3" t="s">
        <v>557</v>
      </c>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t="s">
        <v>558</v>
      </c>
      <c r="B167" s="3" t="s">
        <v>559</v>
      </c>
      <c r="C167" s="3">
        <v>0.0</v>
      </c>
      <c r="D167" s="3" t="s">
        <v>560</v>
      </c>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t="s">
        <v>561</v>
      </c>
      <c r="B168" s="3" t="s">
        <v>562</v>
      </c>
      <c r="C168" s="3">
        <v>0.0</v>
      </c>
      <c r="D168" s="3" t="s">
        <v>563</v>
      </c>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t="s">
        <v>564</v>
      </c>
      <c r="B169" s="3" t="s">
        <v>565</v>
      </c>
      <c r="C169" s="45">
        <v>1.0625E11</v>
      </c>
      <c r="D169" s="3" t="s">
        <v>566</v>
      </c>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t="s">
        <v>567</v>
      </c>
      <c r="B170" s="3" t="s">
        <v>568</v>
      </c>
      <c r="C170" s="3">
        <v>0.0</v>
      </c>
      <c r="D170" s="3" t="s">
        <v>569</v>
      </c>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t="s">
        <v>567</v>
      </c>
      <c r="B171" s="3" t="s">
        <v>570</v>
      </c>
      <c r="C171" s="3">
        <v>0.0</v>
      </c>
      <c r="D171" s="3" t="s">
        <v>571</v>
      </c>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t="s">
        <v>572</v>
      </c>
      <c r="B172" s="3" t="s">
        <v>573</v>
      </c>
      <c r="C172" s="3">
        <v>100.0</v>
      </c>
      <c r="D172" s="3" t="s">
        <v>574</v>
      </c>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t="s">
        <v>576</v>
      </c>
      <c r="B173" s="3" t="s">
        <v>577</v>
      </c>
      <c r="C173" s="3" t="s">
        <v>578</v>
      </c>
      <c r="D173" s="3" t="s">
        <v>579</v>
      </c>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t="s">
        <v>580</v>
      </c>
      <c r="B174" s="3" t="s">
        <v>581</v>
      </c>
      <c r="C174" s="3">
        <v>0.02</v>
      </c>
      <c r="D174" s="3" t="s">
        <v>582</v>
      </c>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t="s">
        <v>584</v>
      </c>
      <c r="B175" s="3" t="s">
        <v>585</v>
      </c>
      <c r="C175" s="3">
        <v>0.02</v>
      </c>
      <c r="D175" s="3" t="s">
        <v>586</v>
      </c>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t="s">
        <v>587</v>
      </c>
      <c r="B176" s="3" t="s">
        <v>588</v>
      </c>
      <c r="C176" s="3">
        <v>0.0</v>
      </c>
      <c r="D176" s="3" t="s">
        <v>589</v>
      </c>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t="s">
        <v>590</v>
      </c>
      <c r="B177" s="3" t="s">
        <v>591</v>
      </c>
      <c r="C177" s="3">
        <v>0.0</v>
      </c>
      <c r="D177" s="3" t="s">
        <v>592</v>
      </c>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t="s">
        <v>593</v>
      </c>
      <c r="B178" s="3" t="s">
        <v>594</v>
      </c>
      <c r="C178" s="3">
        <v>1.0</v>
      </c>
      <c r="D178" s="3" t="s">
        <v>595</v>
      </c>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t="s">
        <v>596</v>
      </c>
      <c r="B179" s="3" t="s">
        <v>597</v>
      </c>
      <c r="C179" s="3">
        <v>1.0</v>
      </c>
      <c r="D179" s="3" t="s">
        <v>598</v>
      </c>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t="s">
        <v>599</v>
      </c>
      <c r="B180" s="3" t="s">
        <v>600</v>
      </c>
      <c r="C180" s="3">
        <v>0.0</v>
      </c>
      <c r="D180" s="3" t="s">
        <v>601</v>
      </c>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t="s">
        <v>602</v>
      </c>
      <c r="B181" s="3" t="s">
        <v>603</v>
      </c>
      <c r="C181" s="3">
        <v>0.0</v>
      </c>
      <c r="D181" s="3" t="s">
        <v>604</v>
      </c>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t="s">
        <v>605</v>
      </c>
      <c r="B182" s="3" t="s">
        <v>606</v>
      </c>
      <c r="C182" s="3">
        <v>0.0</v>
      </c>
      <c r="D182" s="3" t="s">
        <v>607</v>
      </c>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t="s">
        <v>608</v>
      </c>
      <c r="B183" s="3" t="s">
        <v>609</v>
      </c>
      <c r="C183" s="3">
        <v>0.0</v>
      </c>
      <c r="D183" s="3" t="s">
        <v>610</v>
      </c>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t="s">
        <v>611</v>
      </c>
      <c r="B184" s="3" t="s">
        <v>612</v>
      </c>
      <c r="C184" s="3">
        <v>0.0</v>
      </c>
      <c r="D184" s="3" t="s">
        <v>613</v>
      </c>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t="s">
        <v>614</v>
      </c>
      <c r="B185" s="3" t="s">
        <v>615</v>
      </c>
      <c r="C185" s="3">
        <v>0.0</v>
      </c>
      <c r="D185" s="3" t="s">
        <v>616</v>
      </c>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t="s">
        <v>617</v>
      </c>
      <c r="B186" s="3" t="s">
        <v>336</v>
      </c>
      <c r="C186" s="3">
        <v>0.0</v>
      </c>
      <c r="D186" s="3" t="s">
        <v>618</v>
      </c>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t="s">
        <v>619</v>
      </c>
      <c r="B187" s="3" t="s">
        <v>620</v>
      </c>
      <c r="C187" s="3">
        <v>0.0</v>
      </c>
      <c r="D187" s="3" t="s">
        <v>621</v>
      </c>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t="s">
        <v>622</v>
      </c>
      <c r="B188" s="3" t="s">
        <v>623</v>
      </c>
      <c r="C188" s="3">
        <v>1.0</v>
      </c>
      <c r="D188" s="3" t="s">
        <v>624</v>
      </c>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t="s">
        <v>625</v>
      </c>
      <c r="B189" s="3" t="s">
        <v>626</v>
      </c>
      <c r="C189" s="3">
        <v>1.0</v>
      </c>
      <c r="D189" s="3" t="s">
        <v>627</v>
      </c>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t="s">
        <v>628</v>
      </c>
      <c r="B190" s="3" t="s">
        <v>629</v>
      </c>
      <c r="C190" s="3">
        <v>1.0</v>
      </c>
      <c r="D190" s="3" t="s">
        <v>630</v>
      </c>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t="s">
        <v>631</v>
      </c>
      <c r="B191" s="3" t="s">
        <v>632</v>
      </c>
      <c r="C191" s="3">
        <v>0.0</v>
      </c>
      <c r="D191" s="3" t="s">
        <v>630</v>
      </c>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t="s">
        <v>633</v>
      </c>
      <c r="B192" s="3" t="s">
        <v>634</v>
      </c>
      <c r="C192" s="45">
        <v>1.0E-5</v>
      </c>
      <c r="D192" s="3" t="s">
        <v>635</v>
      </c>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t="s">
        <v>636</v>
      </c>
      <c r="B193" s="3" t="s">
        <v>67</v>
      </c>
      <c r="C193" s="3">
        <v>0.0</v>
      </c>
      <c r="D193" s="3" t="s">
        <v>637</v>
      </c>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t="s">
        <v>638</v>
      </c>
      <c r="B194" s="3" t="s">
        <v>88</v>
      </c>
      <c r="C194" s="3">
        <v>1.0</v>
      </c>
      <c r="D194" s="3" t="s">
        <v>639</v>
      </c>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t="s">
        <v>640</v>
      </c>
      <c r="B195" s="3" t="s">
        <v>100</v>
      </c>
      <c r="C195" s="3">
        <v>1.0</v>
      </c>
      <c r="D195" s="3" t="s">
        <v>641</v>
      </c>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t="s">
        <v>642</v>
      </c>
      <c r="B196" s="3" t="s">
        <v>643</v>
      </c>
      <c r="C196" s="3">
        <v>0.0</v>
      </c>
      <c r="D196" s="3" t="s">
        <v>644</v>
      </c>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t="s">
        <v>645</v>
      </c>
      <c r="B197" s="3" t="s">
        <v>122</v>
      </c>
      <c r="C197" s="3">
        <v>0.0</v>
      </c>
      <c r="D197" s="3" t="s">
        <v>646</v>
      </c>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t="s">
        <v>647</v>
      </c>
      <c r="B198" s="3" t="s">
        <v>648</v>
      </c>
      <c r="C198" s="3">
        <v>0.0</v>
      </c>
      <c r="D198" s="3" t="s">
        <v>649</v>
      </c>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t="s">
        <v>650</v>
      </c>
      <c r="B199" s="3" t="s">
        <v>651</v>
      </c>
      <c r="C199" s="3">
        <v>1.0</v>
      </c>
      <c r="D199" s="3" t="s">
        <v>652</v>
      </c>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t="s">
        <v>653</v>
      </c>
      <c r="B200" s="3" t="s">
        <v>654</v>
      </c>
      <c r="C200" s="3">
        <v>1.0</v>
      </c>
      <c r="D200" s="3" t="s">
        <v>655</v>
      </c>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t="s">
        <v>656</v>
      </c>
      <c r="B201" s="3" t="s">
        <v>142</v>
      </c>
      <c r="C201" s="3">
        <v>0.0</v>
      </c>
      <c r="D201" s="3" t="s">
        <v>657</v>
      </c>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t="s">
        <v>658</v>
      </c>
      <c r="B202" s="3" t="s">
        <v>659</v>
      </c>
      <c r="C202" s="3">
        <v>0.0</v>
      </c>
      <c r="D202" s="3" t="s">
        <v>186</v>
      </c>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t="s">
        <v>660</v>
      </c>
      <c r="B203" s="3" t="s">
        <v>661</v>
      </c>
      <c r="C203" s="3">
        <v>0.0</v>
      </c>
      <c r="D203" s="3" t="s">
        <v>186</v>
      </c>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t="s">
        <v>662</v>
      </c>
      <c r="B204" s="3" t="s">
        <v>663</v>
      </c>
      <c r="C204" s="3">
        <v>0.0</v>
      </c>
      <c r="D204" s="3" t="s">
        <v>664</v>
      </c>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t="s">
        <v>665</v>
      </c>
      <c r="B205" s="3" t="s">
        <v>666</v>
      </c>
      <c r="C205" s="3">
        <v>0.0</v>
      </c>
      <c r="D205" s="3" t="s">
        <v>667</v>
      </c>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t="s">
        <v>668</v>
      </c>
      <c r="B206" s="3" t="s">
        <v>112</v>
      </c>
      <c r="C206" s="3" t="s">
        <v>669</v>
      </c>
      <c r="D206" s="3" t="s">
        <v>670</v>
      </c>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t="s">
        <v>671</v>
      </c>
      <c r="B207" s="3" t="s">
        <v>672</v>
      </c>
      <c r="C207" s="3">
        <v>0.0</v>
      </c>
      <c r="D207" s="3" t="s">
        <v>673</v>
      </c>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t="s">
        <v>675</v>
      </c>
      <c r="B208" s="3" t="s">
        <v>676</v>
      </c>
      <c r="C208" s="3" t="s">
        <v>185</v>
      </c>
      <c r="D208" s="3" t="s">
        <v>677</v>
      </c>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t="s">
        <v>678</v>
      </c>
      <c r="B209" s="3" t="s">
        <v>148</v>
      </c>
      <c r="C209" s="3">
        <v>0.0</v>
      </c>
      <c r="D209" s="3" t="s">
        <v>679</v>
      </c>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t="s">
        <v>680</v>
      </c>
      <c r="B210" s="3" t="s">
        <v>681</v>
      </c>
      <c r="C210" s="3">
        <v>0.0</v>
      </c>
      <c r="D210" s="3" t="s">
        <v>682</v>
      </c>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t="s">
        <v>683</v>
      </c>
      <c r="B211" s="3" t="s">
        <v>684</v>
      </c>
      <c r="C211" s="3">
        <v>0.01</v>
      </c>
      <c r="D211" s="3" t="s">
        <v>685</v>
      </c>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t="s">
        <v>686</v>
      </c>
      <c r="B212" s="3" t="s">
        <v>687</v>
      </c>
      <c r="C212" s="3">
        <v>0.001</v>
      </c>
      <c r="D212" s="3" t="s">
        <v>688</v>
      </c>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t="s">
        <v>690</v>
      </c>
      <c r="B213" s="3" t="s">
        <v>691</v>
      </c>
      <c r="C213" s="3">
        <v>0.01</v>
      </c>
      <c r="D213" s="3" t="s">
        <v>692</v>
      </c>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t="s">
        <v>693</v>
      </c>
      <c r="B214" s="3" t="s">
        <v>158</v>
      </c>
      <c r="C214" s="3">
        <v>1.0</v>
      </c>
      <c r="D214" s="3" t="s">
        <v>694</v>
      </c>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t="s">
        <v>695</v>
      </c>
      <c r="B215" s="3" t="s">
        <v>93</v>
      </c>
      <c r="C215" s="3">
        <v>0.0</v>
      </c>
      <c r="D215" s="3" t="s">
        <v>696</v>
      </c>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t="s">
        <v>697</v>
      </c>
      <c r="B216" s="3" t="s">
        <v>105</v>
      </c>
      <c r="C216" s="3">
        <v>0.005</v>
      </c>
      <c r="D216" s="3" t="s">
        <v>698</v>
      </c>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t="s">
        <v>699</v>
      </c>
      <c r="B217" s="3" t="s">
        <v>700</v>
      </c>
      <c r="C217" s="3">
        <v>5.0</v>
      </c>
      <c r="D217" s="3" t="s">
        <v>702</v>
      </c>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t="s">
        <v>703</v>
      </c>
      <c r="B218" s="3" t="s">
        <v>704</v>
      </c>
      <c r="C218" s="3">
        <v>0.0</v>
      </c>
      <c r="D218" s="3" t="s">
        <v>705</v>
      </c>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t="s">
        <v>706</v>
      </c>
      <c r="B219" s="3" t="s">
        <v>114</v>
      </c>
      <c r="C219" s="3">
        <v>0.008</v>
      </c>
      <c r="D219" s="3" t="s">
        <v>707</v>
      </c>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t="s">
        <v>708</v>
      </c>
      <c r="B220" s="3" t="s">
        <v>709</v>
      </c>
      <c r="C220" s="3">
        <v>1.0</v>
      </c>
      <c r="D220" s="3" t="s">
        <v>710</v>
      </c>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t="s">
        <v>711</v>
      </c>
      <c r="B221" s="3" t="s">
        <v>712</v>
      </c>
      <c r="C221" s="3">
        <v>0.0</v>
      </c>
      <c r="D221" s="3" t="s">
        <v>713</v>
      </c>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t="s">
        <v>714</v>
      </c>
      <c r="B222" s="3" t="s">
        <v>715</v>
      </c>
      <c r="C222" s="3">
        <v>0.0</v>
      </c>
      <c r="D222" s="3" t="s">
        <v>713</v>
      </c>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t="s">
        <v>717</v>
      </c>
      <c r="B223" s="3" t="s">
        <v>123</v>
      </c>
      <c r="C223" s="3">
        <v>0.0</v>
      </c>
      <c r="D223" s="3" t="s">
        <v>718</v>
      </c>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t="s">
        <v>719</v>
      </c>
      <c r="B224" s="3" t="s">
        <v>166</v>
      </c>
      <c r="C224" s="3">
        <v>0.0</v>
      </c>
      <c r="D224" s="3" t="s">
        <v>720</v>
      </c>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t="s">
        <v>721</v>
      </c>
      <c r="B225" s="3" t="s">
        <v>722</v>
      </c>
      <c r="C225" s="3">
        <v>5.0</v>
      </c>
      <c r="D225" s="3" t="s">
        <v>723</v>
      </c>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t="s">
        <v>724</v>
      </c>
      <c r="B226" s="3" t="s">
        <v>192</v>
      </c>
      <c r="C226" s="3">
        <v>0.0</v>
      </c>
      <c r="D226" s="3" t="s">
        <v>725</v>
      </c>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t="s">
        <v>726</v>
      </c>
      <c r="B227" s="3" t="s">
        <v>727</v>
      </c>
      <c r="C227" s="3">
        <v>0.0</v>
      </c>
      <c r="D227" s="3" t="s">
        <v>728</v>
      </c>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t="s">
        <v>729</v>
      </c>
      <c r="B228" s="3" t="s">
        <v>730</v>
      </c>
      <c r="C228" s="3">
        <v>0.6</v>
      </c>
      <c r="D228" s="3" t="s">
        <v>731</v>
      </c>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t="s">
        <v>732</v>
      </c>
      <c r="B229" s="3" t="s">
        <v>176</v>
      </c>
      <c r="C229" s="3">
        <v>0.0</v>
      </c>
      <c r="D229" s="3" t="s">
        <v>733</v>
      </c>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t="s">
        <v>734</v>
      </c>
      <c r="B230" s="3" t="s">
        <v>171</v>
      </c>
      <c r="C230" s="3">
        <v>0.0</v>
      </c>
      <c r="D230" s="3" t="s">
        <v>735</v>
      </c>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t="s">
        <v>736</v>
      </c>
      <c r="B231" s="3" t="s">
        <v>738</v>
      </c>
      <c r="C231" s="3">
        <v>0.0</v>
      </c>
      <c r="D231" s="3" t="s">
        <v>739</v>
      </c>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t="s">
        <v>740</v>
      </c>
      <c r="B232" s="3" t="s">
        <v>243</v>
      </c>
      <c r="C232" s="3">
        <v>0.0</v>
      </c>
      <c r="D232" s="3" t="s">
        <v>741</v>
      </c>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t="s">
        <v>742</v>
      </c>
      <c r="B233" s="3" t="s">
        <v>743</v>
      </c>
      <c r="C233" s="3">
        <v>0.0</v>
      </c>
      <c r="D233" s="3" t="s">
        <v>744</v>
      </c>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t="s">
        <v>745</v>
      </c>
      <c r="B234" s="3" t="s">
        <v>205</v>
      </c>
      <c r="C234" s="3">
        <v>1.0</v>
      </c>
      <c r="D234" s="3" t="s">
        <v>746</v>
      </c>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t="s">
        <v>747</v>
      </c>
      <c r="B235" s="3" t="s">
        <v>748</v>
      </c>
      <c r="C235" s="3">
        <v>1.0</v>
      </c>
      <c r="D235" s="3" t="s">
        <v>749</v>
      </c>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t="s">
        <v>750</v>
      </c>
      <c r="B236" s="3" t="s">
        <v>751</v>
      </c>
      <c r="C236" s="3">
        <v>0.0</v>
      </c>
      <c r="D236" s="3" t="s">
        <v>752</v>
      </c>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t="s">
        <v>753</v>
      </c>
      <c r="B237" s="3" t="s">
        <v>754</v>
      </c>
      <c r="C237" s="3">
        <v>0.0</v>
      </c>
      <c r="D237" s="3" t="s">
        <v>755</v>
      </c>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t="s">
        <v>756</v>
      </c>
      <c r="B238" s="3" t="s">
        <v>757</v>
      </c>
      <c r="C238" s="3">
        <v>0.0</v>
      </c>
      <c r="D238" s="3" t="s">
        <v>758</v>
      </c>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t="s">
        <v>759</v>
      </c>
      <c r="B239" s="3" t="s">
        <v>760</v>
      </c>
      <c r="C239" s="3">
        <v>0.0</v>
      </c>
      <c r="D239" s="3" t="s">
        <v>761</v>
      </c>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t="s">
        <v>762</v>
      </c>
      <c r="B240" s="3" t="s">
        <v>763</v>
      </c>
      <c r="C240" s="3">
        <v>0.001</v>
      </c>
      <c r="D240" s="3" t="s">
        <v>764</v>
      </c>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t="s">
        <v>765</v>
      </c>
      <c r="B241" s="3" t="s">
        <v>766</v>
      </c>
      <c r="C241" s="3" t="s">
        <v>767</v>
      </c>
      <c r="D241" s="3" t="s">
        <v>768</v>
      </c>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t="s">
        <v>769</v>
      </c>
      <c r="B242" s="3" t="s">
        <v>770</v>
      </c>
      <c r="C242" s="3" t="s">
        <v>771</v>
      </c>
      <c r="D242" s="3" t="s">
        <v>772</v>
      </c>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t="s">
        <v>773</v>
      </c>
      <c r="B243" s="3" t="s">
        <v>133</v>
      </c>
      <c r="C243" s="3" t="s">
        <v>134</v>
      </c>
      <c r="D243" s="3" t="s">
        <v>774</v>
      </c>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t="s">
        <v>775</v>
      </c>
      <c r="B244" s="3" t="s">
        <v>776</v>
      </c>
      <c r="C244" s="3" t="s">
        <v>134</v>
      </c>
      <c r="D244" s="3" t="s">
        <v>777</v>
      </c>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t="s">
        <v>778</v>
      </c>
      <c r="B245" s="3" t="s">
        <v>779</v>
      </c>
      <c r="C245" s="3">
        <v>0.0</v>
      </c>
      <c r="D245" s="3" t="s">
        <v>780</v>
      </c>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t="s">
        <v>781</v>
      </c>
      <c r="B246" s="3" t="s">
        <v>140</v>
      </c>
      <c r="C246" s="3" t="s">
        <v>185</v>
      </c>
      <c r="D246" s="3" t="s">
        <v>782</v>
      </c>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t="s">
        <v>783</v>
      </c>
      <c r="B247" s="3" t="s">
        <v>784</v>
      </c>
      <c r="C247" s="3" t="s">
        <v>785</v>
      </c>
      <c r="D247" s="3" t="s">
        <v>786</v>
      </c>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t="s">
        <v>787</v>
      </c>
      <c r="B248" s="3" t="s">
        <v>788</v>
      </c>
      <c r="C248" s="3">
        <v>0.0</v>
      </c>
      <c r="D248" s="3" t="s">
        <v>789</v>
      </c>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t="s">
        <v>790</v>
      </c>
      <c r="B249" s="3" t="s">
        <v>791</v>
      </c>
      <c r="C249" s="3">
        <v>0.0</v>
      </c>
      <c r="D249" s="3" t="s">
        <v>792</v>
      </c>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t="s">
        <v>793</v>
      </c>
      <c r="B250" s="3" t="s">
        <v>794</v>
      </c>
      <c r="C250" s="3">
        <v>0.0</v>
      </c>
      <c r="D250" s="3" t="s">
        <v>795</v>
      </c>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t="s">
        <v>796</v>
      </c>
      <c r="B251" s="3" t="s">
        <v>797</v>
      </c>
      <c r="C251" s="3">
        <v>0.0</v>
      </c>
      <c r="D251" s="3" t="s">
        <v>798</v>
      </c>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t="s">
        <v>799</v>
      </c>
      <c r="B252" s="3" t="s">
        <v>800</v>
      </c>
      <c r="C252" s="3">
        <v>0.0</v>
      </c>
      <c r="D252" s="3" t="s">
        <v>801</v>
      </c>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t="s">
        <v>802</v>
      </c>
      <c r="B253" s="3" t="s">
        <v>51</v>
      </c>
      <c r="C253" s="3">
        <v>0.0</v>
      </c>
      <c r="D253" s="3" t="s">
        <v>803</v>
      </c>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t="s">
        <v>804</v>
      </c>
      <c r="B254" s="3" t="s">
        <v>805</v>
      </c>
      <c r="C254" s="3">
        <v>0.0</v>
      </c>
      <c r="D254" s="3" t="s">
        <v>806</v>
      </c>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t="s">
        <v>807</v>
      </c>
      <c r="B255" s="3" t="s">
        <v>808</v>
      </c>
      <c r="C255" s="3">
        <v>0.75</v>
      </c>
      <c r="D255" s="3" t="s">
        <v>809</v>
      </c>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t="s">
        <v>810</v>
      </c>
      <c r="B256" s="3" t="s">
        <v>811</v>
      </c>
      <c r="C256" s="3">
        <v>0.0</v>
      </c>
      <c r="D256" s="3" t="s">
        <v>812</v>
      </c>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t="s">
        <v>813</v>
      </c>
      <c r="B257" s="3" t="s">
        <v>814</v>
      </c>
      <c r="C257" s="3">
        <v>0.0</v>
      </c>
      <c r="D257" s="3" t="s">
        <v>815</v>
      </c>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t="s">
        <v>816</v>
      </c>
      <c r="B258" s="3" t="s">
        <v>817</v>
      </c>
      <c r="C258" s="3">
        <v>0.0</v>
      </c>
      <c r="D258" s="3" t="s">
        <v>818</v>
      </c>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t="s">
        <v>819</v>
      </c>
      <c r="B259" s="3" t="s">
        <v>820</v>
      </c>
      <c r="C259" s="3">
        <v>0.0</v>
      </c>
      <c r="D259" s="3" t="s">
        <v>821</v>
      </c>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t="s">
        <v>822</v>
      </c>
      <c r="B260" s="3" t="s">
        <v>150</v>
      </c>
      <c r="C260" s="3">
        <v>0.0</v>
      </c>
      <c r="D260" s="3" t="s">
        <v>823</v>
      </c>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t="s">
        <v>824</v>
      </c>
      <c r="B261" s="3" t="s">
        <v>825</v>
      </c>
      <c r="C261" s="3" t="s">
        <v>826</v>
      </c>
      <c r="D261" s="3" t="s">
        <v>827</v>
      </c>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t="s">
        <v>828</v>
      </c>
      <c r="B262" s="3" t="s">
        <v>829</v>
      </c>
      <c r="C262" s="3" t="s">
        <v>830</v>
      </c>
      <c r="D262" s="3" t="s">
        <v>831</v>
      </c>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t="s">
        <v>832</v>
      </c>
      <c r="B263" s="3" t="s">
        <v>833</v>
      </c>
      <c r="C263" s="3" t="s">
        <v>311</v>
      </c>
      <c r="D263" s="3" t="s">
        <v>834</v>
      </c>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t="s">
        <v>835</v>
      </c>
      <c r="B264" s="3" t="s">
        <v>836</v>
      </c>
      <c r="C264" s="3">
        <v>1.0</v>
      </c>
      <c r="D264" s="3" t="s">
        <v>186</v>
      </c>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t="s">
        <v>837</v>
      </c>
      <c r="B265" s="3" t="s">
        <v>838</v>
      </c>
      <c r="C265" s="3">
        <v>1.0</v>
      </c>
      <c r="D265" s="3" t="s">
        <v>186</v>
      </c>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t="s">
        <v>839</v>
      </c>
      <c r="B266" s="3" t="s">
        <v>840</v>
      </c>
      <c r="C266" s="3">
        <v>1.0</v>
      </c>
      <c r="D266" s="3" t="s">
        <v>186</v>
      </c>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t="s">
        <v>841</v>
      </c>
      <c r="B267" s="3" t="s">
        <v>842</v>
      </c>
      <c r="C267" s="3">
        <v>0.0</v>
      </c>
      <c r="D267" s="3" t="s">
        <v>186</v>
      </c>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t="s">
        <v>843</v>
      </c>
      <c r="B268" s="3" t="s">
        <v>844</v>
      </c>
      <c r="C268" s="3" t="s">
        <v>845</v>
      </c>
      <c r="D268" s="3" t="s">
        <v>846</v>
      </c>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2012-07-16T17:45:40Z</dcterms:created>
  <dc:creator>Ken Young;Adee Ran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itusGUID">
    <vt:lpwstr>882ea96f-996f-4c5d-94dc-fe33f4ff7dee</vt:lpwstr>
  </property>
  <property fmtid="{D5CDD505-2E9C-101B-9397-08002B2CF9AE}" pid="4" name="CTP_BU">
    <vt:lpwstr>DATACENTER ENGINEERING GROUP</vt:lpwstr>
  </property>
  <property fmtid="{D5CDD505-2E9C-101B-9397-08002B2CF9AE}" pid="5" name="CTP_TimeStamp">
    <vt:lpwstr>2016-03-17 03:14:10Z</vt:lpwstr>
  </property>
  <property fmtid="{D5CDD505-2E9C-101B-9397-08002B2CF9AE}" pid="6" name="CTPClassification">
    <vt:lpwstr>CTP_IC</vt:lpwstr>
  </property>
  <property fmtid="{D5CDD505-2E9C-101B-9397-08002B2CF9AE}" pid="7" name="ContentTypeId">
    <vt:lpwstr>0x010100E4DBEB42CB08A44580314A7B5C9D1E29</vt:lpwstr>
  </property>
</Properties>
</file>